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SeattleU Study\Quarter 3 Winter 2026\Corporate Finance\PROJECT 1\"/>
    </mc:Choice>
  </mc:AlternateContent>
  <xr:revisionPtr revIDLastSave="0" documentId="13_ncr:1_{7F8F0993-C4E8-4141-BF8F-C98A938F9F5D}" xr6:coauthVersionLast="47" xr6:coauthVersionMax="47" xr10:uidLastSave="{00000000-0000-0000-0000-000000000000}"/>
  <bookViews>
    <workbookView xWindow="-108" yWindow="-108" windowWidth="23256" windowHeight="12456" xr2:uid="{516ECF8E-44D8-412D-B4D8-F611F27261DE}"/>
  </bookViews>
  <sheets>
    <sheet name="1-2. NPV and IRR" sheetId="1" r:id="rId1"/>
    <sheet name="3. Scenario Analysis" sheetId="4" r:id="rId2"/>
    <sheet name="4. Sensitivity Analysis" sheetId="5" r:id="rId3"/>
    <sheet name="__tracelight_scratchpad__" sheetId="6" state="veryHidden" r:id="rId4"/>
  </sheets>
  <calcPr calcId="191029" iterateDelta="1.0000000000000001E-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1" i="1" l="1"/>
  <c r="F18" i="1"/>
  <c r="I82" i="5"/>
  <c r="I89" i="5"/>
  <c r="I88" i="5"/>
  <c r="I87" i="5"/>
  <c r="I86" i="5"/>
  <c r="I83" i="5"/>
  <c r="I81" i="5"/>
  <c r="I80" i="5"/>
  <c r="I84" i="5"/>
  <c r="I75" i="5"/>
  <c r="I74" i="5"/>
  <c r="I73" i="5"/>
  <c r="I72" i="5"/>
  <c r="I66" i="5"/>
  <c r="I69" i="5"/>
  <c r="I68" i="5"/>
  <c r="I67" i="5"/>
  <c r="I70" i="5"/>
  <c r="C12" i="5"/>
  <c r="C14" i="5" s="1"/>
  <c r="C94" i="5" s="1"/>
  <c r="G59" i="5"/>
  <c r="J44" i="5"/>
  <c r="C42" i="5"/>
  <c r="C17" i="5" s="1"/>
  <c r="J38" i="5"/>
  <c r="J40" i="5" s="1"/>
  <c r="F33" i="5"/>
  <c r="L16" i="5" s="1"/>
  <c r="M41" i="5" s="1"/>
  <c r="E33" i="5"/>
  <c r="K16" i="5" s="1"/>
  <c r="L41" i="5" s="1"/>
  <c r="D33" i="5"/>
  <c r="J16" i="5" s="1"/>
  <c r="K41" i="5" s="1"/>
  <c r="C33" i="5"/>
  <c r="I16" i="5" s="1"/>
  <c r="J41" i="5" s="1"/>
  <c r="J29" i="5"/>
  <c r="D29" i="5"/>
  <c r="J15" i="5" s="1"/>
  <c r="J28" i="5"/>
  <c r="J32" i="5" s="1"/>
  <c r="C23" i="5"/>
  <c r="C97" i="5" s="1"/>
  <c r="D20" i="5"/>
  <c r="D23" i="5" s="1"/>
  <c r="D97" i="5" s="1"/>
  <c r="I15" i="5"/>
  <c r="D9" i="5"/>
  <c r="E9" i="5" s="1"/>
  <c r="C53" i="4"/>
  <c r="C112" i="4"/>
  <c r="J105" i="4" s="1"/>
  <c r="C111" i="4"/>
  <c r="J104" i="4" s="1"/>
  <c r="J108" i="4" s="1"/>
  <c r="C107" i="4"/>
  <c r="C106" i="4"/>
  <c r="E109" i="4" s="1"/>
  <c r="K92" i="4" s="1"/>
  <c r="L117" i="4" s="1"/>
  <c r="C105" i="4"/>
  <c r="I91" i="4" s="1"/>
  <c r="C101" i="4"/>
  <c r="C103" i="4"/>
  <c r="D101" i="4" s="1"/>
  <c r="E101" i="4" s="1"/>
  <c r="F101" i="4" s="1"/>
  <c r="C102" i="4"/>
  <c r="C100" i="4"/>
  <c r="C98" i="4"/>
  <c r="C97" i="4"/>
  <c r="C96" i="4"/>
  <c r="D96" i="4" s="1"/>
  <c r="E96" i="4" s="1"/>
  <c r="C92" i="4"/>
  <c r="D92" i="4" s="1"/>
  <c r="E92" i="4" s="1"/>
  <c r="F92" i="4" s="1"/>
  <c r="C94" i="4"/>
  <c r="C93" i="4"/>
  <c r="C91" i="4"/>
  <c r="D91" i="4" s="1"/>
  <c r="E91" i="4" s="1"/>
  <c r="F91" i="4" s="1"/>
  <c r="C87" i="4"/>
  <c r="C86" i="4"/>
  <c r="C85" i="4"/>
  <c r="D85" i="4" s="1"/>
  <c r="G135" i="4"/>
  <c r="J120" i="4"/>
  <c r="J114" i="4"/>
  <c r="D105" i="4"/>
  <c r="C109" i="4" l="1"/>
  <c r="I92" i="4" s="1"/>
  <c r="J117" i="4" s="1"/>
  <c r="D109" i="4"/>
  <c r="J92" i="4" s="1"/>
  <c r="K117" i="4" s="1"/>
  <c r="F109" i="4"/>
  <c r="L92" i="4" s="1"/>
  <c r="M117" i="4" s="1"/>
  <c r="D100" i="4"/>
  <c r="E100" i="4" s="1"/>
  <c r="F100" i="4" s="1"/>
  <c r="I13" i="5"/>
  <c r="C96" i="5"/>
  <c r="C98" i="5" s="1"/>
  <c r="I12" i="5"/>
  <c r="C93" i="5"/>
  <c r="C95" i="5" s="1"/>
  <c r="J56" i="5"/>
  <c r="C99" i="4"/>
  <c r="I89" i="4" s="1"/>
  <c r="C88" i="4"/>
  <c r="C90" i="4" s="1"/>
  <c r="I10" i="5"/>
  <c r="J55" i="5"/>
  <c r="J57" i="5" s="1"/>
  <c r="C26" i="5"/>
  <c r="D24" i="5" s="1"/>
  <c r="E24" i="5" s="1"/>
  <c r="F24" i="5" s="1"/>
  <c r="F9" i="5"/>
  <c r="F12" i="5" s="1"/>
  <c r="F14" i="5" s="1"/>
  <c r="F94" i="5" s="1"/>
  <c r="E12" i="5"/>
  <c r="E14" i="5" s="1"/>
  <c r="E94" i="5" s="1"/>
  <c r="J42" i="5"/>
  <c r="K40" i="5" s="1"/>
  <c r="K42" i="5" s="1"/>
  <c r="L40" i="5" s="1"/>
  <c r="L42" i="5" s="1"/>
  <c r="M40" i="5" s="1"/>
  <c r="M42" i="5" s="1"/>
  <c r="M44" i="5" s="1"/>
  <c r="D15" i="5"/>
  <c r="D16" i="5"/>
  <c r="E16" i="5" s="1"/>
  <c r="F16" i="5" s="1"/>
  <c r="D25" i="5"/>
  <c r="E25" i="5" s="1"/>
  <c r="F25" i="5" s="1"/>
  <c r="E20" i="5"/>
  <c r="I9" i="5"/>
  <c r="J46" i="5"/>
  <c r="J47" i="5" s="1"/>
  <c r="N55" i="5" s="1"/>
  <c r="D12" i="5"/>
  <c r="D14" i="5" s="1"/>
  <c r="D94" i="5" s="1"/>
  <c r="E29" i="5"/>
  <c r="F96" i="4"/>
  <c r="F99" i="4" s="1"/>
  <c r="E99" i="4"/>
  <c r="D88" i="4"/>
  <c r="D90" i="4" s="1"/>
  <c r="E85" i="4"/>
  <c r="D99" i="4"/>
  <c r="E105" i="4"/>
  <c r="J91" i="4"/>
  <c r="J116" i="4"/>
  <c r="J118" i="4" s="1"/>
  <c r="K116" i="4" s="1"/>
  <c r="J131" i="4"/>
  <c r="J132" i="4"/>
  <c r="J46" i="4"/>
  <c r="C52" i="4"/>
  <c r="C48" i="4"/>
  <c r="K118" i="4" l="1"/>
  <c r="L116" i="4" s="1"/>
  <c r="L118" i="4" s="1"/>
  <c r="M116" i="4" s="1"/>
  <c r="M118" i="4" s="1"/>
  <c r="M120" i="4" s="1"/>
  <c r="J122" i="4" s="1"/>
  <c r="J123" i="4" s="1"/>
  <c r="N131" i="4" s="1"/>
  <c r="C99" i="5"/>
  <c r="I14" i="5"/>
  <c r="D96" i="5"/>
  <c r="D98" i="5" s="1"/>
  <c r="E15" i="5"/>
  <c r="K9" i="5" s="1"/>
  <c r="D93" i="5"/>
  <c r="D95" i="5" s="1"/>
  <c r="I86" i="4"/>
  <c r="I11" i="5"/>
  <c r="J10" i="5"/>
  <c r="J12" i="5"/>
  <c r="J9" i="5"/>
  <c r="E23" i="5"/>
  <c r="F20" i="5"/>
  <c r="F23" i="5" s="1"/>
  <c r="K12" i="5"/>
  <c r="L12" i="5"/>
  <c r="K15" i="5"/>
  <c r="F29" i="5"/>
  <c r="L15" i="5" s="1"/>
  <c r="J13" i="5"/>
  <c r="F85" i="4"/>
  <c r="F88" i="4" s="1"/>
  <c r="F90" i="4" s="1"/>
  <c r="E88" i="4"/>
  <c r="E90" i="4" s="1"/>
  <c r="J88" i="4"/>
  <c r="J85" i="4"/>
  <c r="J89" i="4"/>
  <c r="J86" i="4"/>
  <c r="I88" i="4"/>
  <c r="I90" i="4" s="1"/>
  <c r="I85" i="4"/>
  <c r="I87" i="4" s="1"/>
  <c r="J109" i="4" s="1"/>
  <c r="J133" i="4"/>
  <c r="F105" i="4"/>
  <c r="L91" i="4" s="1"/>
  <c r="K91" i="4"/>
  <c r="I17" i="5" l="1"/>
  <c r="I18" i="5" s="1"/>
  <c r="I19" i="5" s="1"/>
  <c r="I21" i="5" s="1"/>
  <c r="K54" i="5" s="1"/>
  <c r="D99" i="5"/>
  <c r="E96" i="5"/>
  <c r="E97" i="5"/>
  <c r="F96" i="5"/>
  <c r="F97" i="5"/>
  <c r="F15" i="5"/>
  <c r="E93" i="5"/>
  <c r="E95" i="5" s="1"/>
  <c r="J33" i="5"/>
  <c r="K32" i="5" s="1"/>
  <c r="J11" i="5"/>
  <c r="K33" i="5" s="1"/>
  <c r="L32" i="5" s="1"/>
  <c r="L10" i="5"/>
  <c r="L13" i="5"/>
  <c r="L14" i="5" s="1"/>
  <c r="K13" i="5"/>
  <c r="K14" i="5" s="1"/>
  <c r="K10" i="5"/>
  <c r="K11" i="5" s="1"/>
  <c r="J14" i="5"/>
  <c r="L85" i="4"/>
  <c r="L88" i="4"/>
  <c r="K88" i="4"/>
  <c r="K85" i="4"/>
  <c r="K89" i="4"/>
  <c r="K86" i="4"/>
  <c r="J87" i="4"/>
  <c r="K109" i="4" s="1"/>
  <c r="I93" i="4"/>
  <c r="I94" i="4" s="1"/>
  <c r="L89" i="4"/>
  <c r="L86" i="4"/>
  <c r="J90" i="4"/>
  <c r="F98" i="5" l="1"/>
  <c r="E98" i="5"/>
  <c r="E99" i="5" s="1"/>
  <c r="F93" i="5"/>
  <c r="F95" i="5" s="1"/>
  <c r="L9" i="5"/>
  <c r="L11" i="5" s="1"/>
  <c r="L17" i="5" s="1"/>
  <c r="J34" i="5"/>
  <c r="K56" i="5" s="1"/>
  <c r="K57" i="5" s="1"/>
  <c r="J17" i="5"/>
  <c r="J18" i="5" s="1"/>
  <c r="J19" i="5" s="1"/>
  <c r="J21" i="5" s="1"/>
  <c r="L54" i="5" s="1"/>
  <c r="K17" i="5"/>
  <c r="L33" i="5"/>
  <c r="M32" i="5" s="1"/>
  <c r="M34" i="5" s="1"/>
  <c r="N56" i="5" s="1"/>
  <c r="K34" i="5"/>
  <c r="L56" i="5" s="1"/>
  <c r="K108" i="4"/>
  <c r="J110" i="4"/>
  <c r="K132" i="4" s="1"/>
  <c r="I95" i="4"/>
  <c r="I97" i="4" s="1"/>
  <c r="K130" i="4" s="1"/>
  <c r="K133" i="4" s="1"/>
  <c r="J93" i="4"/>
  <c r="J94" i="4" s="1"/>
  <c r="L108" i="4"/>
  <c r="K87" i="4"/>
  <c r="L109" i="4" s="1"/>
  <c r="K90" i="4"/>
  <c r="L90" i="4"/>
  <c r="L87" i="4"/>
  <c r="F99" i="5" l="1"/>
  <c r="L18" i="5"/>
  <c r="L19" i="5" s="1"/>
  <c r="L21" i="5" s="1"/>
  <c r="N54" i="5" s="1"/>
  <c r="N57" i="5" s="1"/>
  <c r="K18" i="5"/>
  <c r="K19" i="5" s="1"/>
  <c r="K21" i="5" s="1"/>
  <c r="M54" i="5" s="1"/>
  <c r="L34" i="5"/>
  <c r="M56" i="5" s="1"/>
  <c r="L57" i="5"/>
  <c r="L93" i="4"/>
  <c r="L94" i="4" s="1"/>
  <c r="J95" i="4"/>
  <c r="J97" i="4" s="1"/>
  <c r="L130" i="4" s="1"/>
  <c r="M108" i="4"/>
  <c r="M110" i="4" s="1"/>
  <c r="N132" i="4" s="1"/>
  <c r="K93" i="4"/>
  <c r="K94" i="4" s="1"/>
  <c r="K110" i="4"/>
  <c r="L132" i="4" s="1"/>
  <c r="M57" i="5" l="1"/>
  <c r="I59" i="5" s="1"/>
  <c r="L133" i="4"/>
  <c r="L110" i="4"/>
  <c r="M132" i="4" s="1"/>
  <c r="K95" i="4"/>
  <c r="K97" i="4" s="1"/>
  <c r="M130" i="4" s="1"/>
  <c r="M133" i="4" s="1"/>
  <c r="L95" i="4"/>
  <c r="L97" i="4" s="1"/>
  <c r="N130" i="4" s="1"/>
  <c r="N133" i="4" s="1"/>
  <c r="J65" i="5" l="1"/>
  <c r="J79" i="5"/>
  <c r="F79" i="5"/>
  <c r="C65" i="5"/>
  <c r="F65" i="5"/>
  <c r="C79" i="5"/>
  <c r="I61" i="5"/>
  <c r="I135" i="4"/>
  <c r="D145" i="4" s="1"/>
  <c r="I136" i="4"/>
  <c r="D146" i="4" s="1"/>
  <c r="C47" i="4" l="1"/>
  <c r="F50" i="4" s="1"/>
  <c r="L33" i="4" s="1"/>
  <c r="M58" i="4" s="1"/>
  <c r="C46" i="4"/>
  <c r="I32" i="4" s="1"/>
  <c r="C33" i="4"/>
  <c r="C42" i="4"/>
  <c r="C44" i="4"/>
  <c r="C43" i="4"/>
  <c r="C41" i="4"/>
  <c r="C39" i="4"/>
  <c r="C38" i="4"/>
  <c r="C37" i="4"/>
  <c r="C40" i="4" s="1"/>
  <c r="C35" i="4"/>
  <c r="C34" i="4"/>
  <c r="C32" i="4"/>
  <c r="C28" i="4"/>
  <c r="C27" i="4"/>
  <c r="C26" i="4"/>
  <c r="D26" i="4" s="1"/>
  <c r="D29" i="4" s="1"/>
  <c r="D31" i="4" s="1"/>
  <c r="G76" i="4"/>
  <c r="J61" i="4"/>
  <c r="E50" i="4"/>
  <c r="K33" i="4" s="1"/>
  <c r="L58" i="4" s="1"/>
  <c r="D50" i="4"/>
  <c r="J33" i="4" s="1"/>
  <c r="K58" i="4" s="1"/>
  <c r="C50" i="4"/>
  <c r="I33" i="4" s="1"/>
  <c r="J58" i="4" s="1"/>
  <c r="J45" i="4"/>
  <c r="J49" i="4" s="1"/>
  <c r="G61" i="1"/>
  <c r="I30" i="4" l="1"/>
  <c r="D42" i="4"/>
  <c r="E42" i="4" s="1"/>
  <c r="F42" i="4" s="1"/>
  <c r="J55" i="4"/>
  <c r="J57" i="4" s="1"/>
  <c r="D37" i="4"/>
  <c r="D46" i="4"/>
  <c r="D33" i="4"/>
  <c r="E33" i="4" s="1"/>
  <c r="F33" i="4" s="1"/>
  <c r="D40" i="4"/>
  <c r="C29" i="4"/>
  <c r="C31" i="4" s="1"/>
  <c r="I26" i="4" s="1"/>
  <c r="I27" i="4"/>
  <c r="J72" i="4"/>
  <c r="J73" i="4"/>
  <c r="J59" i="4"/>
  <c r="K57" i="4" s="1"/>
  <c r="K59" i="4" s="1"/>
  <c r="L57" i="4" s="1"/>
  <c r="L59" i="4" s="1"/>
  <c r="M57" i="4" s="1"/>
  <c r="M59" i="4" s="1"/>
  <c r="M61" i="4" s="1"/>
  <c r="J63" i="4" s="1"/>
  <c r="J64" i="4" s="1"/>
  <c r="N72" i="4" s="1"/>
  <c r="D41" i="4"/>
  <c r="E41" i="4" s="1"/>
  <c r="F41" i="4" s="1"/>
  <c r="E37" i="4"/>
  <c r="E26" i="4"/>
  <c r="I29" i="4"/>
  <c r="I31" i="4" s="1"/>
  <c r="J32" i="4" l="1"/>
  <c r="E46" i="4"/>
  <c r="F46" i="4" s="1"/>
  <c r="I28" i="4"/>
  <c r="I34" i="4" s="1"/>
  <c r="I35" i="4" s="1"/>
  <c r="I36" i="4" s="1"/>
  <c r="I38" i="4" s="1"/>
  <c r="K71" i="4" s="1"/>
  <c r="J74" i="4"/>
  <c r="F26" i="4"/>
  <c r="F29" i="4" s="1"/>
  <c r="F31" i="4" s="1"/>
  <c r="E29" i="4"/>
  <c r="E31" i="4" s="1"/>
  <c r="J27" i="4"/>
  <c r="D32" i="4"/>
  <c r="E40" i="4"/>
  <c r="F37" i="4"/>
  <c r="F40" i="4" s="1"/>
  <c r="K32" i="4"/>
  <c r="L32" i="4"/>
  <c r="J30" i="4"/>
  <c r="J50" i="4" l="1"/>
  <c r="K49" i="4" s="1"/>
  <c r="L30" i="4"/>
  <c r="L27" i="4"/>
  <c r="L29" i="4"/>
  <c r="J29" i="4"/>
  <c r="J31" i="4" s="1"/>
  <c r="K30" i="4"/>
  <c r="K27" i="4"/>
  <c r="E32" i="4"/>
  <c r="F32" i="4" s="1"/>
  <c r="L26" i="4" s="1"/>
  <c r="J26" i="4"/>
  <c r="J28" i="4" s="1"/>
  <c r="K50" i="4" s="1"/>
  <c r="J51" i="4" l="1"/>
  <c r="K73" i="4" s="1"/>
  <c r="K74" i="4" s="1"/>
  <c r="L31" i="4"/>
  <c r="L28" i="4"/>
  <c r="K29" i="4"/>
  <c r="K26" i="4"/>
  <c r="K28" i="4" s="1"/>
  <c r="J34" i="4"/>
  <c r="K31" i="4"/>
  <c r="L34" i="4" l="1"/>
  <c r="L35" i="4" s="1"/>
  <c r="L36" i="4" s="1"/>
  <c r="L38" i="4" s="1"/>
  <c r="N71" i="4" s="1"/>
  <c r="J35" i="4"/>
  <c r="J36" i="4" s="1"/>
  <c r="J38" i="4" s="1"/>
  <c r="L71" i="4" s="1"/>
  <c r="L49" i="4"/>
  <c r="K51" i="4"/>
  <c r="L73" i="4" s="1"/>
  <c r="L50" i="4"/>
  <c r="M49" i="4" s="1"/>
  <c r="M51" i="4" s="1"/>
  <c r="N73" i="4" s="1"/>
  <c r="K34" i="4"/>
  <c r="N74" i="4" l="1"/>
  <c r="L74" i="4"/>
  <c r="L51" i="4"/>
  <c r="M73" i="4" s="1"/>
  <c r="K35" i="4"/>
  <c r="K36" i="4" l="1"/>
  <c r="K38" i="4" s="1"/>
  <c r="M71" i="4" s="1"/>
  <c r="M74" i="4" s="1"/>
  <c r="I78" i="4" l="1"/>
  <c r="F146" i="4" s="1"/>
  <c r="I76" i="4"/>
  <c r="F145" i="4" s="1"/>
  <c r="C44" i="1"/>
  <c r="J46" i="1" l="1"/>
  <c r="J40" i="1"/>
  <c r="J57" i="1" s="1"/>
  <c r="J31" i="1"/>
  <c r="J30" i="1"/>
  <c r="J34" i="1" s="1"/>
  <c r="I17" i="1"/>
  <c r="F35" i="1"/>
  <c r="L18" i="1" s="1"/>
  <c r="M43" i="1" s="1"/>
  <c r="E35" i="1"/>
  <c r="K18" i="1" s="1"/>
  <c r="L43" i="1" s="1"/>
  <c r="D35" i="1"/>
  <c r="J18" i="1" s="1"/>
  <c r="K43" i="1" s="1"/>
  <c r="C35" i="1"/>
  <c r="I18" i="1" s="1"/>
  <c r="J43" i="1" s="1"/>
  <c r="J42" i="1" l="1"/>
  <c r="J44" i="1" s="1"/>
  <c r="K42" i="1" s="1"/>
  <c r="K44" i="1" s="1"/>
  <c r="L42" i="1" s="1"/>
  <c r="L44" i="1" s="1"/>
  <c r="M42" i="1" s="1"/>
  <c r="M44" i="1" s="1"/>
  <c r="M46" i="1" s="1"/>
  <c r="J58" i="1"/>
  <c r="J59" i="1"/>
  <c r="J48" i="1" l="1"/>
  <c r="J49" i="1" s="1"/>
  <c r="N57" i="1" s="1"/>
  <c r="D31" i="1" l="1"/>
  <c r="C19" i="1"/>
  <c r="D17" i="1" s="1"/>
  <c r="E17" i="1" s="1"/>
  <c r="F17" i="1" s="1"/>
  <c r="C25" i="1"/>
  <c r="D22" i="1"/>
  <c r="D25" i="1" s="1"/>
  <c r="C14" i="1"/>
  <c r="C16" i="1" s="1"/>
  <c r="D11" i="1"/>
  <c r="E11" i="1" s="1"/>
  <c r="F11" i="1" s="1"/>
  <c r="F14" i="1" s="1"/>
  <c r="F16" i="1" s="1"/>
  <c r="L11" i="1" l="1"/>
  <c r="I11" i="1"/>
  <c r="I14" i="1"/>
  <c r="I15" i="1"/>
  <c r="I12" i="1"/>
  <c r="J17" i="1"/>
  <c r="E22" i="1"/>
  <c r="C28" i="1"/>
  <c r="D18" i="1"/>
  <c r="E18" i="1" s="1"/>
  <c r="L14" i="1" s="1"/>
  <c r="D14" i="1"/>
  <c r="D16" i="1" s="1"/>
  <c r="E14" i="1"/>
  <c r="E16" i="1" s="1"/>
  <c r="J11" i="1" l="1"/>
  <c r="J14" i="1"/>
  <c r="I16" i="1"/>
  <c r="I13" i="1"/>
  <c r="K14" i="1"/>
  <c r="K11" i="1"/>
  <c r="F31" i="1"/>
  <c r="L17" i="1" s="1"/>
  <c r="K17" i="1"/>
  <c r="D27" i="1"/>
  <c r="D26" i="1"/>
  <c r="F22" i="1"/>
  <c r="F25" i="1" s="1"/>
  <c r="E25" i="1"/>
  <c r="E26" i="1" l="1"/>
  <c r="F26" i="1" s="1"/>
  <c r="J12" i="1"/>
  <c r="J13" i="1" s="1"/>
  <c r="I19" i="1"/>
  <c r="J35" i="1"/>
  <c r="L12" i="1"/>
  <c r="L13" i="1" s="1"/>
  <c r="E27" i="1"/>
  <c r="F27" i="1" s="1"/>
  <c r="L15" i="1" s="1"/>
  <c r="L16" i="1" s="1"/>
  <c r="J15" i="1"/>
  <c r="J16" i="1" s="1"/>
  <c r="J19" i="1" l="1"/>
  <c r="K35" i="1"/>
  <c r="L34" i="1" s="1"/>
  <c r="L19" i="1"/>
  <c r="K34" i="1"/>
  <c r="J36" i="1"/>
  <c r="I20" i="1"/>
  <c r="I21" i="1" s="1"/>
  <c r="I23" i="1" s="1"/>
  <c r="K56" i="1" s="1"/>
  <c r="K15" i="1"/>
  <c r="K16" i="1" s="1"/>
  <c r="K12" i="1"/>
  <c r="K13" i="1" s="1"/>
  <c r="K36" i="1" l="1"/>
  <c r="K58" i="1"/>
  <c r="K59" i="1" s="1"/>
  <c r="L58" i="1"/>
  <c r="K19" i="1"/>
  <c r="L35" i="1"/>
  <c r="M34" i="1" s="1"/>
  <c r="M36" i="1" s="1"/>
  <c r="N58" i="1" s="1"/>
  <c r="L20" i="1"/>
  <c r="L21" i="1" s="1"/>
  <c r="L23" i="1" s="1"/>
  <c r="N56" i="1" s="1"/>
  <c r="J20" i="1"/>
  <c r="J21" i="1" s="1"/>
  <c r="J23" i="1" s="1"/>
  <c r="L56" i="1" s="1"/>
  <c r="L36" i="1" l="1"/>
  <c r="M58" i="1" s="1"/>
  <c r="L59" i="1"/>
  <c r="N59" i="1"/>
  <c r="K20" i="1"/>
  <c r="K21" i="1" s="1"/>
  <c r="K23" i="1" s="1"/>
  <c r="M56" i="1" s="1"/>
  <c r="M59" i="1" l="1"/>
  <c r="I63" i="1" s="1"/>
  <c r="I6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Ravshanbek Mamasaidov</author>
  </authors>
  <commentList>
    <comment ref="D10" authorId="0" shapeId="0" xr:uid="{7CEF0B7A-F343-4DA3-8788-FA32309272CD}">
      <text>
        <r>
          <rPr>
            <b/>
            <sz val="9"/>
            <color indexed="81"/>
            <rFont val="Tahoma"/>
            <family val="2"/>
          </rPr>
          <t>Reflects either a robust macroeconomic recovery (Best) or a recession-led decline in vehicle production and travel (Worst).</t>
        </r>
      </text>
    </comment>
    <comment ref="D12" authorId="0" shapeId="0" xr:uid="{AB362DD1-7E2B-4834-AF9E-FA6607FF41E8}">
      <text>
        <r>
          <rPr>
            <b/>
            <sz val="9"/>
            <color indexed="81"/>
            <rFont val="Tahoma"/>
            <family val="2"/>
          </rPr>
          <t>Assumes high brand loyalty and marketing success (Best) versus aggressive price-cutting by established competitors (Worst).</t>
        </r>
      </text>
    </comment>
    <comment ref="D13" authorId="0" shapeId="0" xr:uid="{0C08CFC4-FC53-4518-ABEB-68FACF8BB265}">
      <text>
        <r>
          <rPr>
            <b/>
            <sz val="9"/>
            <color indexed="81"/>
            <rFont val="Tahoma"/>
            <family val="2"/>
          </rPr>
          <t>Best: High brand loyalty and global supply shortages allow for a 5% price premium. Worst: Competitive pressure forces price erosion to maintain volume.</t>
        </r>
      </text>
    </comment>
    <comment ref="D14" authorId="0" shapeId="0" xr:uid="{2627E13D-0406-4D93-A661-A4C3BDBFA74D}">
      <text>
        <r>
          <rPr>
            <b/>
            <sz val="9"/>
            <color indexed="81"/>
            <rFont val="Tahoma"/>
            <family val="2"/>
          </rPr>
          <t xml:space="preserve">Best: Efficiency gains and favorable raw material contracts. Worst: Spikes in petroleum and rubber costs due to geopolitical instability.
</t>
        </r>
      </text>
    </comment>
    <comment ref="D17" authorId="0" shapeId="0" xr:uid="{7E551392-543E-4D3B-A1F0-8838FB007E7D}">
      <text>
        <r>
          <rPr>
            <b/>
            <sz val="9"/>
            <color indexed="81"/>
            <rFont val="Tahoma"/>
            <family val="2"/>
          </rPr>
          <t xml:space="preserve">Inflation was held constant at 3.25%, and only the project’s growth rate was varied across scenarios to avoid overlapping or double-counting growth effects.
</t>
        </r>
        <r>
          <rPr>
            <sz val="9"/>
            <color indexed="81"/>
            <rFont val="Tahoma"/>
            <family val="2"/>
          </rPr>
          <t xml:space="preserve">
</t>
        </r>
      </text>
    </comment>
    <comment ref="D19" authorId="0" shapeId="0" xr:uid="{87500A8D-2C18-49DF-820D-88B7E1BA71BE}">
      <text>
        <r>
          <rPr>
            <b/>
            <sz val="9"/>
            <color indexed="81"/>
            <rFont val="Tahoma"/>
            <family val="2"/>
          </rPr>
          <t>Best: 10% savings from competitive bidding and efficient construction. Worst: Budget overruns due to site delays or labor shortages.</t>
        </r>
        <r>
          <rPr>
            <sz val="9"/>
            <color indexed="81"/>
            <rFont val="Tahoma"/>
            <family val="2"/>
          </rPr>
          <t xml:space="preserve">
</t>
        </r>
      </text>
    </comment>
    <comment ref="D21" authorId="0" shapeId="0" xr:uid="{26E8FA06-F40C-4466-A241-FA7A139B6314}">
      <text>
        <r>
          <rPr>
            <b/>
            <sz val="9"/>
            <color indexed="81"/>
            <rFont val="Tahoma"/>
            <family val="2"/>
          </rPr>
          <t>Best: Leaner inventory and optimized credit terms. Worst: Slower customer payments and higher safety stock needs.</t>
        </r>
        <r>
          <rPr>
            <sz val="9"/>
            <color indexed="81"/>
            <rFont val="Tahoma"/>
            <family val="2"/>
          </rPr>
          <t xml:space="preserve">
</t>
        </r>
      </text>
    </comment>
  </commentList>
</comments>
</file>

<file path=xl/sharedStrings.xml><?xml version="1.0" encoding="utf-8"?>
<sst xmlns="http://schemas.openxmlformats.org/spreadsheetml/2006/main" count="563" uniqueCount="135">
  <si>
    <t>Base case</t>
  </si>
  <si>
    <t>Project life (years):</t>
  </si>
  <si>
    <t>Required return:</t>
  </si>
  <si>
    <t>Tax rate:</t>
  </si>
  <si>
    <t>R&amp;D costs</t>
  </si>
  <si>
    <t>Super Tread tires 4 years</t>
  </si>
  <si>
    <t>Test marketing costs</t>
  </si>
  <si>
    <t>Pretax market salvage value</t>
  </si>
  <si>
    <t>Year 1</t>
  </si>
  <si>
    <t>Year 2</t>
  </si>
  <si>
    <t>Year 3</t>
  </si>
  <si>
    <t>Year 4</t>
  </si>
  <si>
    <t>Production growth rate</t>
  </si>
  <si>
    <t>Goodweek Tires Market share</t>
  </si>
  <si>
    <t>Marketing and GA costs</t>
  </si>
  <si>
    <t>Annual inflation</t>
  </si>
  <si>
    <t>The original equipment manufacturer (OEM) market:</t>
  </si>
  <si>
    <t>Replacement Market size</t>
  </si>
  <si>
    <t>The Replacement market:</t>
  </si>
  <si>
    <t>Real growth</t>
  </si>
  <si>
    <t>Nominal growth rate</t>
  </si>
  <si>
    <t>Adjusted</t>
  </si>
  <si>
    <t>Price per tire</t>
  </si>
  <si>
    <t>Variable costs per tire</t>
  </si>
  <si>
    <t>OEM Car Market size</t>
  </si>
  <si>
    <t>Market share Cars</t>
  </si>
  <si>
    <t xml:space="preserve">Tires needed per Car </t>
  </si>
  <si>
    <t>Total Tire/Unit Sales</t>
  </si>
  <si>
    <t>Depreciation rate</t>
  </si>
  <si>
    <t>MACRS</t>
  </si>
  <si>
    <t>Annual Depreciation</t>
  </si>
  <si>
    <t>NWC to start project:</t>
  </si>
  <si>
    <t>of sales</t>
  </si>
  <si>
    <t>NWC will be</t>
  </si>
  <si>
    <t>Fixed costs</t>
  </si>
  <si>
    <t>Depreciation</t>
  </si>
  <si>
    <t>EBIT</t>
  </si>
  <si>
    <t>Net income</t>
  </si>
  <si>
    <t>OCF</t>
  </si>
  <si>
    <t>Taxes 21%</t>
  </si>
  <si>
    <t>OEM Sales</t>
  </si>
  <si>
    <t>Replacement Sales</t>
  </si>
  <si>
    <t>Total Sales</t>
  </si>
  <si>
    <t>Pro Forma Income Statement for Goodweek Tires</t>
  </si>
  <si>
    <t>OEM Var costs</t>
  </si>
  <si>
    <t>Replacement Var costs</t>
  </si>
  <si>
    <t>Total Variable costs</t>
  </si>
  <si>
    <t>STEP-1</t>
  </si>
  <si>
    <t>STEP-2</t>
  </si>
  <si>
    <t>STEP-3</t>
  </si>
  <si>
    <t>The change in net working capital for each year is the beginning net working capital for each year minus the net working capital investment at the end of the year. So, the change in net working capital each year is:</t>
  </si>
  <si>
    <t>NWC for subsequent years:</t>
  </si>
  <si>
    <t xml:space="preserve">of sales </t>
  </si>
  <si>
    <t>Net working capital</t>
  </si>
  <si>
    <t xml:space="preserve">  Beginning NWC</t>
  </si>
  <si>
    <t xml:space="preserve">  End of year NWC</t>
  </si>
  <si>
    <t>Additional NWC contribution</t>
  </si>
  <si>
    <t>Total cost of equipments:</t>
  </si>
  <si>
    <t>Beginning book Value</t>
  </si>
  <si>
    <t>Ending book value of asset</t>
  </si>
  <si>
    <t>Book value of asset</t>
  </si>
  <si>
    <t>Taxes on sale</t>
  </si>
  <si>
    <t>Aftertax salvage value</t>
  </si>
  <si>
    <t>STEP-4</t>
  </si>
  <si>
    <t>The machine will have a salvage value at the end of the project, but we are concerned with the aftertax salvage value, which is:</t>
  </si>
  <si>
    <t>Since MV&gt;BV, company is having capital gain, and must pay taxes</t>
  </si>
  <si>
    <t>With this, the incremental cash flows each year, NPV for different interest rates, and IRR for the project are:</t>
  </si>
  <si>
    <t>Year 0</t>
  </si>
  <si>
    <t>Operating cash flow</t>
  </si>
  <si>
    <t>Net Capital Spending</t>
  </si>
  <si>
    <t>Free cash flow from project</t>
  </si>
  <si>
    <t>NPV</t>
  </si>
  <si>
    <t>IRR</t>
  </si>
  <si>
    <t>STEP-5</t>
  </si>
  <si>
    <t>Accept Project, since it gives positive NPV return</t>
  </si>
  <si>
    <t>What are the NPVs and IRRs under best- and worst-case scenario? (treat all the inputs provided as base case information, you need to make your own assumption for numbers used in the best- and worst-case scenario. Your assumptions should make economic sense. Please clearly discuss those assumptions (risk factors) in your written report and label those assumption in the Excel spreadsheet.)</t>
  </si>
  <si>
    <t>Market size</t>
  </si>
  <si>
    <t>NWC</t>
  </si>
  <si>
    <t>% Change from Base</t>
  </si>
  <si>
    <t>just add</t>
  </si>
  <si>
    <t>Sunc costs:</t>
  </si>
  <si>
    <t>Initial investment equipment:</t>
  </si>
  <si>
    <t>Best Case Scenario</t>
  </si>
  <si>
    <t>Factors we are changing</t>
  </si>
  <si>
    <t>OEM and Repl Market size</t>
  </si>
  <si>
    <t>Market Share</t>
  </si>
  <si>
    <t>Price per unit for year 1</t>
  </si>
  <si>
    <t>Var cost per unit for year 1</t>
  </si>
  <si>
    <t>Base Case</t>
  </si>
  <si>
    <t>OEM</t>
  </si>
  <si>
    <t>Replacement</t>
  </si>
  <si>
    <t>Fixed Costs</t>
  </si>
  <si>
    <t>Initial Investment</t>
  </si>
  <si>
    <t>Initial Working Capital</t>
  </si>
  <si>
    <t>+/-</t>
  </si>
  <si>
    <t>change</t>
  </si>
  <si>
    <t>NWC % sales</t>
  </si>
  <si>
    <t>Real growth rate price</t>
  </si>
  <si>
    <t>Real growth rate var cost</t>
  </si>
  <si>
    <t>unchanged</t>
  </si>
  <si>
    <t>Inflation</t>
  </si>
  <si>
    <t>Nominal growth rate price</t>
  </si>
  <si>
    <t>Nominal growth rate var cost</t>
  </si>
  <si>
    <t>↑</t>
  </si>
  <si>
    <t>↓</t>
  </si>
  <si>
    <t>Worst Case Scenario</t>
  </si>
  <si>
    <t>Therefore:</t>
  </si>
  <si>
    <t xml:space="preserve">Worst </t>
  </si>
  <si>
    <t>Base</t>
  </si>
  <si>
    <t>Best</t>
  </si>
  <si>
    <t>Decision</t>
  </si>
  <si>
    <t>Reject</t>
  </si>
  <si>
    <t>Accept</t>
  </si>
  <si>
    <t xml:space="preserve">For Scenario Analysis, we change everything, market size, market share unit sales, price, var costs, fixed costs, initial investment and working capital, growth rates, </t>
  </si>
  <si>
    <t>Perform sensitivity analysis on prices and market shares (for both OEM and RM). Which market is more important to Goodweek Tires?</t>
  </si>
  <si>
    <t>Goodweek Tires - Scenario Analysis</t>
  </si>
  <si>
    <t>Goodweek Tires - Sensitivity Analysis</t>
  </si>
  <si>
    <t>OEM Market share</t>
  </si>
  <si>
    <t>OEM Price per unit</t>
  </si>
  <si>
    <t>Goodweek Tires - NPV and IRR</t>
  </si>
  <si>
    <t>Replacement Market share</t>
  </si>
  <si>
    <t>2% incr</t>
  </si>
  <si>
    <t>We now examine how sensitive the NPV is to the change in Market Share and Price Per Unit for both markets:</t>
  </si>
  <si>
    <t>Replacement Price per unit</t>
  </si>
  <si>
    <t>NPV&gt;0</t>
  </si>
  <si>
    <t>IRR&gt;required rate of return</t>
  </si>
  <si>
    <t>$3 incre</t>
  </si>
  <si>
    <t>1% incr</t>
  </si>
  <si>
    <t>Sensitivity analysis is used to determine how sensitive the NPV is to the change in one particular variable. Because of the repetitive nature of the calculations, spreadsheets are an excellent tool for doing the analysis. Job Done List also done.</t>
  </si>
  <si>
    <t>OEM Var Costs</t>
  </si>
  <si>
    <t>OEM Gross Profit</t>
  </si>
  <si>
    <t>Replacement Gross Profit</t>
  </si>
  <si>
    <t>Difference in Gross Profit</t>
  </si>
  <si>
    <t>Goodweek Tires should move forward with the Super Tread project due to its potential to generate shareholder value. The project produces a positive Net Present Value (NPV) of $19,125,835, which satisfies the capital-budgeting decision rule that investments with NPV greater than zero should be accepted. The internal rate of return (IRR) of 21.68% further supports the decision, as this rate represents the project’s break-even cost of capital—meaning the NPV would equal zero if the firm’s required return were 21.68%. Since the company’s required rate of return is 15.9%, which is well below the IRR, the project clearly satisfies the IRR decision rule and adds value. Strong operating cash flows, growing from $37.8 million in Year 1 to $46.5 million in Year 4, are driven by favorable contribution margins in the replacement tire market and justify the initial $120 million capital expenditure. The analysis incorporates nominal growth of approximately 4.25%, ensuring consistency between projected cash flows and the discount rate. In addition, the project generates a substantial terminal free cash flow of about $112.9 million in Year 4 due to equipment salvage value and recovery of net working capital, significantly contributing to overall value. Therefore, the Super Tread project is financially attractive and should be accepted.</t>
  </si>
  <si>
    <t>RAVSHANBEK MAMASAIDOV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</si>
</sst>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quot;$&quot;* #,##0.00_-;_-&quot;$&quot;* &quot;-&quot;??_-;_-@_-"/>
    <numFmt numFmtId="43" formatCode="_-* #,##0.00_-;\-* #,##0.00_-;_-* &quot;-&quot;??_-;_-@_-"/>
    <numFmt numFmtId="164" formatCode="_(&quot;$&quot;* #,##0_);_(&quot;$&quot;* \(#,##0\);_(&quot;$&quot;* &quot;-&quot;_);_(@_)"/>
    <numFmt numFmtId="165" formatCode="_(* #,##0_);_(* \(#,##0\);_(* &quot;-&quot;_);_(@_)"/>
    <numFmt numFmtId="166" formatCode="_(&quot;$&quot;* #,##0.00_);_(&quot;$&quot;* \(#,##0.00\);_(&quot;$&quot;* &quot;-&quot;??_);_(@_)"/>
    <numFmt numFmtId="167" formatCode="_-* #,##0_-;\-* #,##0_-;_-* &quot;-&quot;??_-;_-@_-"/>
    <numFmt numFmtId="168" formatCode="0.0%"/>
    <numFmt numFmtId="169" formatCode="_-* #,##0.0_-;\-* #,##0.0_-;_-* &quot;-&quot;??_-;_-@_-"/>
    <numFmt numFmtId="170" formatCode="_(* #,##0_);_(* \(#,##0\);_(* &quot;-&quot;??_);_(@_)"/>
    <numFmt numFmtId="171" formatCode="_(&quot;$&quot;* #,##0_);_(&quot;$&quot;* \(#,##0\);_(&quot;$&quot;* &quot;-&quot;??_);_(@_)"/>
    <numFmt numFmtId="172" formatCode="_-&quot;$&quot;* #,##0_-;\-&quot;$&quot;* #,##0_-;_-&quot;$&quot;* &quot;-&quot;??_-;_-@_-"/>
    <numFmt numFmtId="173" formatCode="_(&quot;$&quot;* #,##0.00_);_(&quot;$&quot;* \(#,##0.00\);_(&quot;$&quot;* &quot;-&quot;_);_(@_)"/>
    <numFmt numFmtId="174" formatCode="_(\$* #,##0_);_(\$* \(#,##0\);_(\$* &quot;-&quot;_);_(@_)"/>
  </numFmts>
  <fonts count="31">
    <font>
      <sz val="12"/>
      <color theme="1"/>
      <name val="Times New Roman"/>
      <family val="2"/>
    </font>
    <font>
      <sz val="12"/>
      <color theme="1"/>
      <name val="Times New Roman"/>
      <family val="2"/>
    </font>
    <font>
      <sz val="12"/>
      <color theme="1"/>
      <name val="Calibri"/>
      <family val="2"/>
      <scheme val="minor"/>
    </font>
    <font>
      <b/>
      <sz val="12"/>
      <color theme="1"/>
      <name val="Times New Roman"/>
      <family val="1"/>
    </font>
    <font>
      <b/>
      <sz val="14"/>
      <color theme="1"/>
      <name val="Times New Roman"/>
      <family val="1"/>
    </font>
    <font>
      <b/>
      <sz val="12"/>
      <color theme="1"/>
      <name val="Calibri"/>
      <family val="2"/>
      <scheme val="minor"/>
    </font>
    <font>
      <sz val="11"/>
      <color theme="1"/>
      <name val="Calibri"/>
      <family val="2"/>
      <scheme val="minor"/>
    </font>
    <font>
      <i/>
      <sz val="12"/>
      <color theme="1"/>
      <name val="Calibri"/>
      <family val="2"/>
      <scheme val="minor"/>
    </font>
    <font>
      <b/>
      <sz val="14"/>
      <color theme="1"/>
      <name val="Calibri"/>
      <family val="2"/>
      <scheme val="minor"/>
    </font>
    <font>
      <sz val="12"/>
      <color theme="1"/>
      <name val="Calibri  "/>
    </font>
    <font>
      <b/>
      <sz val="12"/>
      <color theme="1"/>
      <name val="Calibri  "/>
    </font>
    <font>
      <b/>
      <sz val="12"/>
      <color theme="1"/>
      <name val="Times New Roman"/>
      <family val="2"/>
    </font>
    <font>
      <sz val="9"/>
      <color indexed="81"/>
      <name val="Tahoma"/>
      <family val="2"/>
    </font>
    <font>
      <b/>
      <sz val="9"/>
      <color indexed="81"/>
      <name val="Tahoma"/>
      <family val="2"/>
    </font>
    <font>
      <b/>
      <sz val="14"/>
      <color rgb="FF1F4E79"/>
      <name val="Times New Roman"/>
      <family val="1"/>
    </font>
    <font>
      <b/>
      <sz val="14"/>
      <color rgb="FF1F4E79"/>
      <name val="Times New Roman"/>
      <family val="2"/>
    </font>
    <font>
      <b/>
      <sz val="12"/>
      <color rgb="FFFFFFFF"/>
      <name val="Times New Roman"/>
      <family val="1"/>
    </font>
    <font>
      <b/>
      <sz val="12"/>
      <color rgb="FFFFFFFF"/>
      <name val="Calibri"/>
      <family val="2"/>
      <scheme val="minor"/>
    </font>
    <font>
      <b/>
      <i/>
      <sz val="12"/>
      <color theme="1"/>
      <name val="Calibri"/>
      <family val="2"/>
      <scheme val="minor"/>
    </font>
    <font>
      <sz val="10"/>
      <color rgb="FF555555"/>
      <name val="Times New Roman"/>
      <family val="2"/>
    </font>
    <font>
      <b/>
      <sz val="12"/>
      <color rgb="FFFFFFFF"/>
      <name val="Calibri  "/>
    </font>
    <font>
      <b/>
      <sz val="14"/>
      <color rgb="FF00B050"/>
      <name val="Calibri"/>
      <family val="2"/>
      <scheme val="minor"/>
    </font>
    <font>
      <b/>
      <sz val="12"/>
      <color rgb="FF1F4E79"/>
      <name val="Times New Roman"/>
      <family val="1"/>
    </font>
    <font>
      <b/>
      <sz val="14"/>
      <color rgb="FFC00000"/>
      <name val="Calibri"/>
      <family val="2"/>
      <scheme val="minor"/>
    </font>
    <font>
      <b/>
      <sz val="12"/>
      <color rgb="FFC00000"/>
      <name val="Calibri"/>
      <family val="2"/>
      <scheme val="minor"/>
    </font>
    <font>
      <b/>
      <sz val="12"/>
      <color rgb="FF00B050"/>
      <name val="Calibri"/>
      <family val="2"/>
      <scheme val="minor"/>
    </font>
    <font>
      <b/>
      <sz val="14"/>
      <color rgb="FF1F4E79"/>
      <name val="Calibri"/>
      <family val="2"/>
      <scheme val="minor"/>
    </font>
    <font>
      <sz val="10"/>
      <color rgb="FF555555"/>
      <name val="Calibri"/>
      <family val="2"/>
      <scheme val="minor"/>
    </font>
    <font>
      <b/>
      <sz val="10"/>
      <color rgb="FF555555"/>
      <name val="Calibri"/>
      <family val="2"/>
      <scheme val="minor"/>
    </font>
    <font>
      <b/>
      <sz val="11"/>
      <color rgb="FF1F4E79"/>
      <name val="Calibri"/>
      <family val="2"/>
      <scheme val="minor"/>
    </font>
    <font>
      <b/>
      <sz val="11"/>
      <color rgb="FF1F4E79"/>
      <name val="Times New Roman"/>
      <family val="2"/>
    </font>
  </fonts>
  <fills count="24">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92D050"/>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B4C6E7"/>
        <bgColor indexed="64"/>
      </patternFill>
    </fill>
    <fill>
      <patternFill patternType="solid">
        <fgColor rgb="FFD6DCE5"/>
        <bgColor indexed="64"/>
      </patternFill>
    </fill>
    <fill>
      <patternFill patternType="solid">
        <fgColor rgb="FF1F4E79"/>
        <bgColor indexed="64"/>
      </patternFill>
    </fill>
    <fill>
      <patternFill patternType="solid">
        <fgColor rgb="FFD9E2F3"/>
        <bgColor indexed="64"/>
      </patternFill>
    </fill>
    <fill>
      <patternFill patternType="solid">
        <fgColor rgb="FFF2F2F2"/>
        <bgColor indexed="64"/>
      </patternFill>
    </fill>
    <fill>
      <patternFill patternType="solid">
        <fgColor rgb="FFFFF2CC"/>
        <bgColor indexed="64"/>
      </patternFill>
    </fill>
    <fill>
      <patternFill patternType="solid">
        <fgColor rgb="FF2F75B5"/>
        <bgColor indexed="64"/>
      </patternFill>
    </fill>
    <fill>
      <patternFill patternType="solid">
        <fgColor rgb="FFBDD7EE"/>
        <bgColor indexed="64"/>
      </patternFill>
    </fill>
    <fill>
      <patternFill patternType="solid">
        <fgColor rgb="FFE2EFDA"/>
        <bgColor indexed="64"/>
      </patternFill>
    </fill>
    <fill>
      <patternFill patternType="solid">
        <fgColor rgb="FFFCE4D6"/>
        <bgColor indexed="64"/>
      </patternFill>
    </fill>
    <fill>
      <patternFill patternType="solid">
        <fgColor rgb="FF00B050"/>
        <bgColor indexed="64"/>
      </patternFill>
    </fill>
    <fill>
      <patternFill patternType="solid">
        <fgColor rgb="FFDAE3F3"/>
        <bgColor indexed="64"/>
      </patternFill>
    </fill>
    <fill>
      <patternFill patternType="solid">
        <fgColor rgb="FFC00000"/>
        <bgColor indexed="64"/>
      </patternFill>
    </fill>
    <fill>
      <patternFill patternType="solid">
        <fgColor rgb="FFFBE5D6"/>
        <bgColor indexed="64"/>
      </patternFill>
    </fill>
  </fills>
  <borders count="92">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rgb="FF1F4E79"/>
      </top>
      <bottom/>
      <diagonal/>
    </border>
    <border>
      <left/>
      <right/>
      <top/>
      <bottom style="medium">
        <color rgb="FF1F4E79"/>
      </bottom>
      <diagonal/>
    </border>
    <border>
      <left style="medium">
        <color rgb="FF1F4E79"/>
      </left>
      <right/>
      <top style="medium">
        <color rgb="FF1F4E79"/>
      </top>
      <bottom/>
      <diagonal/>
    </border>
    <border>
      <left style="medium">
        <color rgb="FF1F4E79"/>
      </left>
      <right/>
      <top/>
      <bottom/>
      <diagonal/>
    </border>
    <border>
      <left style="medium">
        <color rgb="FF1F4E79"/>
      </left>
      <right/>
      <top/>
      <bottom style="medium">
        <color rgb="FF1F4E79"/>
      </bottom>
      <diagonal/>
    </border>
    <border>
      <left/>
      <right style="medium">
        <color rgb="FF1F4E79"/>
      </right>
      <top style="medium">
        <color rgb="FF1F4E79"/>
      </top>
      <bottom/>
      <diagonal/>
    </border>
    <border>
      <left/>
      <right style="medium">
        <color rgb="FF1F4E79"/>
      </right>
      <top/>
      <bottom/>
      <diagonal/>
    </border>
    <border>
      <left/>
      <right style="medium">
        <color rgb="FF1F4E79"/>
      </right>
      <top/>
      <bottom style="medium">
        <color rgb="FF1F4E79"/>
      </bottom>
      <diagonal/>
    </border>
    <border>
      <left style="medium">
        <color rgb="FF1F4E79"/>
      </left>
      <right/>
      <top/>
      <bottom style="thin">
        <color auto="1"/>
      </bottom>
      <diagonal/>
    </border>
    <border>
      <left/>
      <right style="medium">
        <color rgb="FF1F4E79"/>
      </right>
      <top/>
      <bottom style="thin">
        <color auto="1"/>
      </bottom>
      <diagonal/>
    </border>
    <border>
      <left style="medium">
        <color rgb="FF1F4E79"/>
      </left>
      <right/>
      <top style="thin">
        <color auto="1"/>
      </top>
      <bottom style="medium">
        <color rgb="FF1F4E79"/>
      </bottom>
      <diagonal/>
    </border>
    <border>
      <left/>
      <right style="medium">
        <color rgb="FF1F4E79"/>
      </right>
      <top style="thin">
        <color auto="1"/>
      </top>
      <bottom style="medium">
        <color rgb="FF1F4E79"/>
      </bottom>
      <diagonal/>
    </border>
    <border>
      <left/>
      <right style="medium">
        <color rgb="FF1F4E79"/>
      </right>
      <top style="thin">
        <color auto="1"/>
      </top>
      <bottom/>
      <diagonal/>
    </border>
    <border>
      <left style="medium">
        <color rgb="FF1F4E79"/>
      </left>
      <right/>
      <top style="medium">
        <color rgb="FF1F4E79"/>
      </top>
      <bottom style="thin">
        <color auto="1"/>
      </bottom>
      <diagonal/>
    </border>
    <border>
      <left/>
      <right/>
      <top style="medium">
        <color rgb="FF1F4E79"/>
      </top>
      <bottom style="thin">
        <color auto="1"/>
      </bottom>
      <diagonal/>
    </border>
    <border>
      <left/>
      <right style="medium">
        <color rgb="FF1F4E79"/>
      </right>
      <top style="medium">
        <color rgb="FF1F4E79"/>
      </top>
      <bottom style="thin">
        <color auto="1"/>
      </bottom>
      <diagonal/>
    </border>
    <border>
      <left style="medium">
        <color rgb="FF1F4E79"/>
      </left>
      <right/>
      <top style="thin">
        <color auto="1"/>
      </top>
      <bottom style="thin">
        <color auto="1"/>
      </bottom>
      <diagonal/>
    </border>
    <border>
      <left/>
      <right style="medium">
        <color rgb="FF1F4E79"/>
      </right>
      <top style="thin">
        <color auto="1"/>
      </top>
      <bottom style="thin">
        <color auto="1"/>
      </bottom>
      <diagonal/>
    </border>
    <border>
      <left/>
      <right/>
      <top style="thin">
        <color auto="1"/>
      </top>
      <bottom style="medium">
        <color rgb="FF1F4E79"/>
      </bottom>
      <diagonal/>
    </border>
    <border>
      <left style="medium">
        <color rgb="FF00B050"/>
      </left>
      <right/>
      <top style="medium">
        <color rgb="FF00B050"/>
      </top>
      <bottom style="medium">
        <color rgb="FF00B050"/>
      </bottom>
      <diagonal/>
    </border>
    <border>
      <left/>
      <right style="medium">
        <color rgb="FF00B050"/>
      </right>
      <top style="medium">
        <color rgb="FF00B050"/>
      </top>
      <bottom style="medium">
        <color rgb="FF00B050"/>
      </bottom>
      <diagonal/>
    </border>
    <border>
      <left/>
      <right/>
      <top style="medium">
        <color rgb="FF70AD47"/>
      </top>
      <bottom style="thin">
        <color rgb="FF70AD47"/>
      </bottom>
      <diagonal/>
    </border>
    <border>
      <left/>
      <right/>
      <top style="medium">
        <color rgb="FF2F75B5"/>
      </top>
      <bottom/>
      <diagonal/>
    </border>
    <border>
      <left/>
      <right/>
      <top style="medium">
        <color rgb="FF2F75B5"/>
      </top>
      <bottom style="thin">
        <color rgb="FF2F75B5"/>
      </bottom>
      <diagonal/>
    </border>
    <border>
      <left/>
      <right/>
      <top/>
      <bottom style="medium">
        <color rgb="FF2F75B5"/>
      </bottom>
      <diagonal/>
    </border>
    <border>
      <left style="medium">
        <color rgb="FF2F75B5"/>
      </left>
      <right/>
      <top style="medium">
        <color rgb="FF2F75B5"/>
      </top>
      <bottom/>
      <diagonal/>
    </border>
    <border>
      <left style="medium">
        <color rgb="FF2F75B5"/>
      </left>
      <right/>
      <top/>
      <bottom/>
      <diagonal/>
    </border>
    <border>
      <left style="medium">
        <color rgb="FF2F75B5"/>
      </left>
      <right/>
      <top/>
      <bottom style="medium">
        <color rgb="FF2F75B5"/>
      </bottom>
      <diagonal/>
    </border>
    <border>
      <left/>
      <right style="medium">
        <color rgb="FF2F75B5"/>
      </right>
      <top style="medium">
        <color rgb="FF2F75B5"/>
      </top>
      <bottom/>
      <diagonal/>
    </border>
    <border>
      <left/>
      <right style="medium">
        <color rgb="FF2F75B5"/>
      </right>
      <top/>
      <bottom/>
      <diagonal/>
    </border>
    <border>
      <left/>
      <right style="medium">
        <color rgb="FF2F75B5"/>
      </right>
      <top/>
      <bottom style="medium">
        <color rgb="FF2F75B5"/>
      </bottom>
      <diagonal/>
    </border>
    <border>
      <left style="medium">
        <color rgb="FF70AD47"/>
      </left>
      <right/>
      <top style="medium">
        <color rgb="FF70AD47"/>
      </top>
      <bottom style="thin">
        <color rgb="FF70AD47"/>
      </bottom>
      <diagonal/>
    </border>
    <border>
      <left/>
      <right style="medium">
        <color rgb="FF70AD47"/>
      </right>
      <top style="medium">
        <color rgb="FF70AD47"/>
      </top>
      <bottom style="thin">
        <color rgb="FF70AD47"/>
      </bottom>
      <diagonal/>
    </border>
    <border>
      <left style="medium">
        <color rgb="FF70AD47"/>
      </left>
      <right/>
      <top style="thin">
        <color rgb="FF70AD47"/>
      </top>
      <bottom style="thin">
        <color rgb="FF70AD47"/>
      </bottom>
      <diagonal/>
    </border>
    <border>
      <left/>
      <right/>
      <top style="thin">
        <color rgb="FF70AD47"/>
      </top>
      <bottom style="thin">
        <color rgb="FF70AD47"/>
      </bottom>
      <diagonal/>
    </border>
    <border>
      <left/>
      <right style="medium">
        <color rgb="FF70AD47"/>
      </right>
      <top style="thin">
        <color rgb="FF70AD47"/>
      </top>
      <bottom style="thin">
        <color rgb="FF70AD47"/>
      </bottom>
      <diagonal/>
    </border>
    <border>
      <left style="medium">
        <color rgb="FF70AD47"/>
      </left>
      <right/>
      <top style="thin">
        <color rgb="FF70AD47"/>
      </top>
      <bottom style="medium">
        <color rgb="FF70AD47"/>
      </bottom>
      <diagonal/>
    </border>
    <border>
      <left/>
      <right/>
      <top style="thin">
        <color rgb="FF70AD47"/>
      </top>
      <bottom style="medium">
        <color rgb="FF70AD47"/>
      </bottom>
      <diagonal/>
    </border>
    <border>
      <left/>
      <right style="medium">
        <color rgb="FF70AD47"/>
      </right>
      <top style="thin">
        <color rgb="FF70AD47"/>
      </top>
      <bottom style="medium">
        <color rgb="FF70AD47"/>
      </bottom>
      <diagonal/>
    </border>
    <border>
      <left style="medium">
        <color rgb="FF2F75B5"/>
      </left>
      <right/>
      <top style="medium">
        <color rgb="FF2F75B5"/>
      </top>
      <bottom style="thin">
        <color rgb="FF2F75B5"/>
      </bottom>
      <diagonal/>
    </border>
    <border>
      <left/>
      <right style="medium">
        <color rgb="FF2F75B5"/>
      </right>
      <top style="medium">
        <color rgb="FF2F75B5"/>
      </top>
      <bottom style="thin">
        <color rgb="FF2F75B5"/>
      </bottom>
      <diagonal/>
    </border>
    <border>
      <left style="medium">
        <color rgb="FF2F75B5"/>
      </left>
      <right/>
      <top style="thin">
        <color rgb="FF2F75B5"/>
      </top>
      <bottom style="thin">
        <color rgb="FF2F75B5"/>
      </bottom>
      <diagonal/>
    </border>
    <border>
      <left/>
      <right/>
      <top style="thin">
        <color rgb="FF2F75B5"/>
      </top>
      <bottom style="thin">
        <color rgb="FF2F75B5"/>
      </bottom>
      <diagonal/>
    </border>
    <border>
      <left/>
      <right style="medium">
        <color rgb="FF2F75B5"/>
      </right>
      <top style="thin">
        <color rgb="FF2F75B5"/>
      </top>
      <bottom style="thin">
        <color rgb="FF2F75B5"/>
      </bottom>
      <diagonal/>
    </border>
    <border>
      <left style="medium">
        <color rgb="FF2F75B5"/>
      </left>
      <right/>
      <top style="thin">
        <color rgb="FF2F75B5"/>
      </top>
      <bottom style="medium">
        <color rgb="FF2F75B5"/>
      </bottom>
      <diagonal/>
    </border>
    <border>
      <left/>
      <right/>
      <top style="thin">
        <color rgb="FF2F75B5"/>
      </top>
      <bottom style="medium">
        <color rgb="FF2F75B5"/>
      </bottom>
      <diagonal/>
    </border>
    <border>
      <left/>
      <right style="medium">
        <color rgb="FF2F75B5"/>
      </right>
      <top style="thin">
        <color rgb="FF2F75B5"/>
      </top>
      <bottom style="medium">
        <color rgb="FF2F75B5"/>
      </bottom>
      <diagonal/>
    </border>
    <border>
      <left style="medium">
        <color rgb="FFC00000"/>
      </left>
      <right/>
      <top style="medium">
        <color rgb="FFC00000"/>
      </top>
      <bottom/>
      <diagonal/>
    </border>
    <border>
      <left style="medium">
        <color rgb="FFC00000"/>
      </left>
      <right/>
      <top/>
      <bottom style="medium">
        <color rgb="FFC00000"/>
      </bottom>
      <diagonal/>
    </border>
    <border>
      <left/>
      <right style="medium">
        <color rgb="FFC00000"/>
      </right>
      <top style="medium">
        <color rgb="FFC00000"/>
      </top>
      <bottom/>
      <diagonal/>
    </border>
    <border>
      <left/>
      <right style="medium">
        <color rgb="FFC00000"/>
      </right>
      <top/>
      <bottom style="medium">
        <color rgb="FFC00000"/>
      </bottom>
      <diagonal/>
    </border>
    <border>
      <left style="medium">
        <color rgb="FF2F75B5"/>
      </left>
      <right/>
      <top style="medium">
        <color rgb="FF2F75B5"/>
      </top>
      <bottom style="thin">
        <color rgb="FFBDD7EE"/>
      </bottom>
      <diagonal/>
    </border>
    <border>
      <left/>
      <right style="medium">
        <color rgb="FF2F75B5"/>
      </right>
      <top style="medium">
        <color rgb="FF2F75B5"/>
      </top>
      <bottom style="thin">
        <color rgb="FFBDD7EE"/>
      </bottom>
      <diagonal/>
    </border>
    <border>
      <left style="medium">
        <color rgb="FF2F75B5"/>
      </left>
      <right/>
      <top style="thin">
        <color rgb="FFBDD7EE"/>
      </top>
      <bottom style="thin">
        <color rgb="FFBDD7EE"/>
      </bottom>
      <diagonal/>
    </border>
    <border>
      <left/>
      <right style="medium">
        <color rgb="FF2F75B5"/>
      </right>
      <top style="thin">
        <color rgb="FFBDD7EE"/>
      </top>
      <bottom style="thin">
        <color rgb="FFBDD7EE"/>
      </bottom>
      <diagonal/>
    </border>
    <border>
      <left style="medium">
        <color rgb="FF2F75B5"/>
      </left>
      <right/>
      <top style="thin">
        <color rgb="FFBDD7EE"/>
      </top>
      <bottom style="medium">
        <color rgb="FF2F75B5"/>
      </bottom>
      <diagonal/>
    </border>
    <border>
      <left/>
      <right style="medium">
        <color rgb="FF2F75B5"/>
      </right>
      <top style="thin">
        <color rgb="FFBDD7EE"/>
      </top>
      <bottom style="medium">
        <color rgb="FF2F75B5"/>
      </bottom>
      <diagonal/>
    </border>
    <border>
      <left/>
      <right style="thin">
        <color indexed="64"/>
      </right>
      <top style="medium">
        <color rgb="FF2F75B5"/>
      </top>
      <bottom style="thin">
        <color rgb="FFBDD7EE"/>
      </bottom>
      <diagonal/>
    </border>
    <border>
      <left style="thin">
        <color indexed="64"/>
      </left>
      <right style="medium">
        <color rgb="FF2F75B5"/>
      </right>
      <top style="medium">
        <color rgb="FF2F75B5"/>
      </top>
      <bottom style="thin">
        <color rgb="FFBDD7EE"/>
      </bottom>
      <diagonal/>
    </border>
    <border>
      <left/>
      <right style="thin">
        <color indexed="64"/>
      </right>
      <top style="thin">
        <color rgb="FFBDD7EE"/>
      </top>
      <bottom style="thin">
        <color rgb="FFBDD7EE"/>
      </bottom>
      <diagonal/>
    </border>
    <border>
      <left style="thin">
        <color indexed="64"/>
      </left>
      <right style="medium">
        <color rgb="FF2F75B5"/>
      </right>
      <top style="thin">
        <color rgb="FFBDD7EE"/>
      </top>
      <bottom style="thin">
        <color rgb="FFBDD7EE"/>
      </bottom>
      <diagonal/>
    </border>
    <border>
      <left/>
      <right/>
      <top style="thin">
        <color rgb="FFBDD7EE"/>
      </top>
      <bottom style="thin">
        <color rgb="FFBDD7EE"/>
      </bottom>
      <diagonal/>
    </border>
    <border>
      <left/>
      <right/>
      <top style="thin">
        <color rgb="FFBDD7EE"/>
      </top>
      <bottom style="medium">
        <color rgb="FF2F75B5"/>
      </bottom>
      <diagonal/>
    </border>
    <border>
      <left style="medium">
        <color rgb="FF00B050"/>
      </left>
      <right/>
      <top style="medium">
        <color rgb="FF00B050"/>
      </top>
      <bottom style="thin">
        <color rgb="FFC5E0B4"/>
      </bottom>
      <diagonal/>
    </border>
    <border>
      <left style="thin">
        <color indexed="64"/>
      </left>
      <right style="medium">
        <color rgb="FF00B050"/>
      </right>
      <top style="medium">
        <color rgb="FF00B050"/>
      </top>
      <bottom style="thin">
        <color rgb="FFC5E0B4"/>
      </bottom>
      <diagonal/>
    </border>
    <border>
      <left style="medium">
        <color rgb="FF00B050"/>
      </left>
      <right/>
      <top style="thin">
        <color rgb="FFC5E0B4"/>
      </top>
      <bottom style="thin">
        <color rgb="FFC5E0B4"/>
      </bottom>
      <diagonal/>
    </border>
    <border>
      <left style="thin">
        <color indexed="64"/>
      </left>
      <right style="medium">
        <color rgb="FF00B050"/>
      </right>
      <top style="thin">
        <color rgb="FFC5E0B4"/>
      </top>
      <bottom style="thin">
        <color rgb="FFC5E0B4"/>
      </bottom>
      <diagonal/>
    </border>
    <border>
      <left/>
      <right style="medium">
        <color rgb="FF00B050"/>
      </right>
      <top style="thin">
        <color rgb="FFC5E0B4"/>
      </top>
      <bottom style="thin">
        <color rgb="FFC5E0B4"/>
      </bottom>
      <diagonal/>
    </border>
    <border>
      <left style="medium">
        <color rgb="FF00B050"/>
      </left>
      <right/>
      <top style="thin">
        <color rgb="FFC5E0B4"/>
      </top>
      <bottom style="medium">
        <color rgb="FF00B050"/>
      </bottom>
      <diagonal/>
    </border>
    <border>
      <left/>
      <right style="medium">
        <color rgb="FF00B050"/>
      </right>
      <top style="thin">
        <color rgb="FFC5E0B4"/>
      </top>
      <bottom style="medium">
        <color rgb="FF00B050"/>
      </bottom>
      <diagonal/>
    </border>
    <border>
      <left/>
      <right style="medium">
        <color rgb="FF00B050"/>
      </right>
      <top style="medium">
        <color rgb="FF00B050"/>
      </top>
      <bottom style="thin">
        <color rgb="FFC5E0B4"/>
      </bottom>
      <diagonal/>
    </border>
    <border>
      <left/>
      <right style="thin">
        <color indexed="64"/>
      </right>
      <top style="medium">
        <color rgb="FF00B050"/>
      </top>
      <bottom style="thin">
        <color rgb="FFC5E0B4"/>
      </bottom>
      <diagonal/>
    </border>
    <border>
      <left/>
      <right style="thin">
        <color indexed="64"/>
      </right>
      <top style="thin">
        <color rgb="FFC5E0B4"/>
      </top>
      <bottom style="thin">
        <color rgb="FFC5E0B4"/>
      </bottom>
      <diagonal/>
    </border>
    <border>
      <left/>
      <right/>
      <top style="thin">
        <color rgb="FFC5E0B4"/>
      </top>
      <bottom style="thin">
        <color rgb="FFC5E0B4"/>
      </bottom>
      <diagonal/>
    </border>
    <border>
      <left/>
      <right/>
      <top style="thin">
        <color rgb="FFC5E0B4"/>
      </top>
      <bottom style="medium">
        <color rgb="FF00B050"/>
      </bottom>
      <diagonal/>
    </border>
    <border>
      <left style="medium">
        <color rgb="FF1F4E79"/>
      </left>
      <right style="thin">
        <color indexed="64"/>
      </right>
      <top style="medium">
        <color rgb="FF1F4E79"/>
      </top>
      <bottom style="thin">
        <color indexed="64"/>
      </bottom>
      <diagonal/>
    </border>
    <border>
      <left style="medium">
        <color rgb="FF1F4E79"/>
      </left>
      <right style="thin">
        <color indexed="64"/>
      </right>
      <top style="thin">
        <color indexed="64"/>
      </top>
      <bottom style="thin">
        <color indexed="64"/>
      </bottom>
      <diagonal/>
    </border>
    <border>
      <left style="medium">
        <color rgb="FF1F4E79"/>
      </left>
      <right style="thin">
        <color indexed="64"/>
      </right>
      <top style="thin">
        <color indexed="64"/>
      </top>
      <bottom style="medium">
        <color rgb="FF1F4E79"/>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9" fontId="6" fillId="0" borderId="0" applyFont="0" applyFill="0" applyBorder="0" applyAlignment="0" applyProtection="0"/>
    <xf numFmtId="166" fontId="6" fillId="0" borderId="0" applyFont="0" applyFill="0" applyBorder="0" applyAlignment="0" applyProtection="0"/>
    <xf numFmtId="44" fontId="1" fillId="0" borderId="0" applyFont="0" applyFill="0" applyBorder="0" applyAlignment="0" applyProtection="0"/>
  </cellStyleXfs>
  <cellXfs count="400">
    <xf numFmtId="0" fontId="0" fillId="0" borderId="0" xfId="0"/>
    <xf numFmtId="9" fontId="2" fillId="0" borderId="0" xfId="2" applyFont="1" applyFill="1" applyBorder="1" applyAlignment="1">
      <alignment horizontal="right" wrapText="1"/>
    </xf>
    <xf numFmtId="0" fontId="2" fillId="0" borderId="0" xfId="0" applyFont="1" applyBorder="1"/>
    <xf numFmtId="0" fontId="0" fillId="0" borderId="0" xfId="0" applyBorder="1"/>
    <xf numFmtId="165" fontId="2" fillId="0" borderId="0" xfId="0" applyNumberFormat="1" applyFont="1" applyBorder="1" applyAlignment="1">
      <alignment horizontal="right" wrapText="1"/>
    </xf>
    <xf numFmtId="165" fontId="2" fillId="0" borderId="0" xfId="0" applyNumberFormat="1" applyFont="1" applyBorder="1"/>
    <xf numFmtId="164" fontId="2" fillId="0" borderId="0" xfId="0" applyNumberFormat="1" applyFont="1" applyBorder="1"/>
    <xf numFmtId="9" fontId="2" fillId="0" borderId="0" xfId="2" applyFont="1" applyFill="1" applyBorder="1"/>
    <xf numFmtId="0" fontId="2" fillId="0" borderId="0" xfId="0" applyFont="1" applyBorder="1" applyAlignment="1">
      <alignment wrapText="1"/>
    </xf>
    <xf numFmtId="0" fontId="2" fillId="0" borderId="0" xfId="0" applyFont="1" applyBorder="1" applyAlignment="1"/>
    <xf numFmtId="0" fontId="0" fillId="0" borderId="0" xfId="0" applyBorder="1" applyAlignment="1">
      <alignment horizontal="center"/>
    </xf>
    <xf numFmtId="0" fontId="4" fillId="0" borderId="0" xfId="0" applyFont="1" applyBorder="1" applyAlignment="1">
      <alignment horizontal="center"/>
    </xf>
    <xf numFmtId="168" fontId="2" fillId="0" borderId="0" xfId="2" applyNumberFormat="1" applyFont="1" applyFill="1" applyBorder="1"/>
    <xf numFmtId="10" fontId="2" fillId="0" borderId="0" xfId="2" applyNumberFormat="1" applyFont="1" applyFill="1" applyBorder="1"/>
    <xf numFmtId="167" fontId="2" fillId="0" borderId="0" xfId="1" applyNumberFormat="1" applyFont="1" applyBorder="1"/>
    <xf numFmtId="44" fontId="2" fillId="0" borderId="0" xfId="0" applyNumberFormat="1" applyFont="1" applyBorder="1"/>
    <xf numFmtId="0" fontId="2" fillId="0" borderId="0" xfId="0" applyFont="1" applyFill="1" applyBorder="1"/>
    <xf numFmtId="9" fontId="0" fillId="0" borderId="0" xfId="0" applyNumberFormat="1" applyBorder="1"/>
    <xf numFmtId="10" fontId="2" fillId="2" borderId="0" xfId="2" applyNumberFormat="1" applyFont="1" applyFill="1" applyBorder="1"/>
    <xf numFmtId="9" fontId="0" fillId="2" borderId="0" xfId="0" applyNumberFormat="1" applyFill="1" applyBorder="1"/>
    <xf numFmtId="10" fontId="0" fillId="2" borderId="0" xfId="0" applyNumberFormat="1" applyFill="1" applyBorder="1"/>
    <xf numFmtId="10" fontId="2" fillId="0" borderId="0" xfId="2" applyNumberFormat="1" applyFont="1" applyFill="1" applyBorder="1" applyAlignment="1">
      <alignment horizontal="right" wrapText="1"/>
    </xf>
    <xf numFmtId="169" fontId="2" fillId="0" borderId="0" xfId="1" applyNumberFormat="1" applyFont="1" applyBorder="1"/>
    <xf numFmtId="9" fontId="2" fillId="0" borderId="0" xfId="2" applyNumberFormat="1" applyFont="1" applyFill="1" applyBorder="1"/>
    <xf numFmtId="10" fontId="2" fillId="0" borderId="0" xfId="0" applyNumberFormat="1" applyFont="1" applyBorder="1"/>
    <xf numFmtId="0" fontId="2" fillId="0" borderId="0" xfId="0" applyFont="1"/>
    <xf numFmtId="0" fontId="2" fillId="0" borderId="2" xfId="0" applyFont="1" applyBorder="1"/>
    <xf numFmtId="165" fontId="2" fillId="0" borderId="2" xfId="0" applyNumberFormat="1" applyFont="1" applyBorder="1"/>
    <xf numFmtId="0" fontId="5" fillId="0" borderId="0" xfId="0" applyFont="1" applyBorder="1" applyAlignment="1">
      <alignment horizontal="center" vertical="center"/>
    </xf>
    <xf numFmtId="0" fontId="3" fillId="0" borderId="0" xfId="0" applyFont="1" applyBorder="1"/>
    <xf numFmtId="0" fontId="2" fillId="3" borderId="0" xfId="0" applyFont="1" applyFill="1" applyBorder="1"/>
    <xf numFmtId="167" fontId="2" fillId="3" borderId="0" xfId="1" applyNumberFormat="1" applyFont="1" applyFill="1" applyBorder="1"/>
    <xf numFmtId="165" fontId="2" fillId="3" borderId="0" xfId="0" applyNumberFormat="1" applyFont="1" applyFill="1" applyBorder="1"/>
    <xf numFmtId="167" fontId="2" fillId="0" borderId="0" xfId="1" applyNumberFormat="1" applyFont="1" applyBorder="1" applyAlignment="1"/>
    <xf numFmtId="167" fontId="2" fillId="4" borderId="0" xfId="1" applyNumberFormat="1" applyFont="1" applyFill="1" applyBorder="1" applyAlignment="1">
      <alignment vertical="center"/>
    </xf>
    <xf numFmtId="167" fontId="2" fillId="4" borderId="0" xfId="1" applyNumberFormat="1" applyFont="1" applyFill="1" applyBorder="1" applyAlignment="1"/>
    <xf numFmtId="167" fontId="2" fillId="0" borderId="0" xfId="1" applyNumberFormat="1" applyFont="1" applyBorder="1" applyAlignment="1">
      <alignment horizontal="left" vertical="top"/>
    </xf>
    <xf numFmtId="0" fontId="2" fillId="0" borderId="0" xfId="0" applyFont="1" applyAlignment="1">
      <alignment horizontal="left" wrapText="1"/>
    </xf>
    <xf numFmtId="0" fontId="2" fillId="0" borderId="0" xfId="0" applyFont="1" applyAlignment="1">
      <alignment wrapText="1"/>
    </xf>
    <xf numFmtId="164" fontId="2" fillId="0" borderId="0" xfId="0" applyNumberFormat="1" applyFont="1"/>
    <xf numFmtId="0" fontId="7" fillId="0" borderId="0" xfId="0" applyFont="1" applyAlignment="1">
      <alignment horizontal="center"/>
    </xf>
    <xf numFmtId="165" fontId="2" fillId="0" borderId="1" xfId="0" applyNumberFormat="1" applyFont="1" applyBorder="1"/>
    <xf numFmtId="167" fontId="2" fillId="0" borderId="0" xfId="1" applyNumberFormat="1" applyFont="1"/>
    <xf numFmtId="0" fontId="2" fillId="0" borderId="0" xfId="0" applyFont="1" applyAlignment="1">
      <alignment horizontal="right" wrapText="1"/>
    </xf>
    <xf numFmtId="165" fontId="2" fillId="0" borderId="0" xfId="0" applyNumberFormat="1" applyFont="1" applyAlignment="1">
      <alignment horizontal="left" wrapText="1"/>
    </xf>
    <xf numFmtId="170" fontId="2" fillId="0" borderId="0" xfId="0" applyNumberFormat="1" applyFont="1"/>
    <xf numFmtId="165" fontId="2" fillId="0" borderId="0" xfId="0" applyNumberFormat="1" applyFont="1"/>
    <xf numFmtId="0" fontId="6" fillId="0" borderId="0" xfId="0" applyFont="1" applyAlignment="1">
      <alignment wrapText="1"/>
    </xf>
    <xf numFmtId="164" fontId="0" fillId="0" borderId="0" xfId="0" applyNumberFormat="1" applyBorder="1"/>
    <xf numFmtId="44" fontId="2" fillId="0" borderId="0" xfId="0" applyNumberFormat="1" applyFont="1"/>
    <xf numFmtId="164" fontId="2" fillId="5" borderId="0" xfId="0" applyNumberFormat="1" applyFont="1" applyFill="1"/>
    <xf numFmtId="167" fontId="2" fillId="5" borderId="0" xfId="1" applyNumberFormat="1" applyFont="1" applyFill="1" applyBorder="1" applyAlignment="1"/>
    <xf numFmtId="0" fontId="5" fillId="0" borderId="0" xfId="0" applyFont="1"/>
    <xf numFmtId="164" fontId="2" fillId="6" borderId="0" xfId="0" applyNumberFormat="1" applyFont="1" applyFill="1"/>
    <xf numFmtId="0" fontId="2" fillId="0" borderId="0" xfId="0" applyFont="1" applyAlignment="1"/>
    <xf numFmtId="0" fontId="6" fillId="0" borderId="0" xfId="0" applyFont="1" applyAlignment="1"/>
    <xf numFmtId="164" fontId="2" fillId="4" borderId="0" xfId="0" applyNumberFormat="1" applyFont="1" applyFill="1"/>
    <xf numFmtId="164" fontId="2" fillId="5" borderId="0" xfId="0" applyNumberFormat="1" applyFont="1" applyFill="1" applyBorder="1"/>
    <xf numFmtId="10" fontId="5" fillId="0" borderId="0" xfId="2" applyNumberFormat="1" applyFont="1" applyFill="1" applyBorder="1"/>
    <xf numFmtId="171" fontId="5" fillId="0" borderId="0" xfId="0" applyNumberFormat="1" applyFont="1"/>
    <xf numFmtId="10" fontId="5" fillId="0" borderId="0" xfId="0" applyNumberFormat="1" applyFont="1"/>
    <xf numFmtId="0" fontId="5" fillId="0" borderId="0" xfId="0" applyFont="1" applyBorder="1" applyAlignment="1">
      <alignment horizontal="center" vertical="center"/>
    </xf>
    <xf numFmtId="0" fontId="2" fillId="0" borderId="0" xfId="3" applyFont="1"/>
    <xf numFmtId="0" fontId="5" fillId="0" borderId="0" xfId="3" applyFont="1"/>
    <xf numFmtId="0" fontId="2" fillId="0" borderId="0" xfId="3" applyFont="1" applyAlignment="1">
      <alignment wrapText="1"/>
    </xf>
    <xf numFmtId="0" fontId="2" fillId="0" borderId="0" xfId="3" applyFont="1" applyAlignment="1">
      <alignment horizontal="right"/>
    </xf>
    <xf numFmtId="171" fontId="2" fillId="0" borderId="0" xfId="3" applyNumberFormat="1" applyFont="1" applyAlignment="1">
      <alignment horizontal="center" vertical="center"/>
    </xf>
    <xf numFmtId="9" fontId="2" fillId="0" borderId="0" xfId="3" applyNumberFormat="1" applyFont="1" applyAlignment="1">
      <alignment horizontal="center" vertical="center"/>
    </xf>
    <xf numFmtId="171" fontId="2" fillId="0" borderId="6" xfId="3" applyNumberFormat="1" applyFont="1" applyBorder="1" applyAlignment="1">
      <alignment horizontal="center" vertical="center"/>
    </xf>
    <xf numFmtId="9" fontId="2" fillId="3" borderId="5" xfId="3" applyNumberFormat="1" applyFont="1" applyFill="1" applyBorder="1" applyAlignment="1">
      <alignment horizontal="center" vertical="center"/>
    </xf>
    <xf numFmtId="171" fontId="2" fillId="3" borderId="0" xfId="3" applyNumberFormat="1" applyFont="1" applyFill="1"/>
    <xf numFmtId="9" fontId="2" fillId="3" borderId="7" xfId="3" applyNumberFormat="1" applyFont="1" applyFill="1" applyBorder="1" applyAlignment="1">
      <alignment horizontal="center" vertical="center"/>
    </xf>
    <xf numFmtId="0" fontId="5" fillId="0" borderId="0" xfId="0" applyFont="1" applyBorder="1" applyAlignment="1">
      <alignment horizontal="center" vertical="center"/>
    </xf>
    <xf numFmtId="164" fontId="5" fillId="0" borderId="0" xfId="0" applyNumberFormat="1" applyFont="1"/>
    <xf numFmtId="0" fontId="8" fillId="0" borderId="0" xfId="0" applyFont="1" applyBorder="1" applyAlignment="1">
      <alignment horizontal="center" vertical="center"/>
    </xf>
    <xf numFmtId="0" fontId="0" fillId="0" borderId="0" xfId="0" applyAlignment="1">
      <alignment horizontal="center" vertical="center" wrapText="1"/>
    </xf>
    <xf numFmtId="173" fontId="2" fillId="0" borderId="0" xfId="0" applyNumberFormat="1" applyFont="1" applyBorder="1"/>
    <xf numFmtId="10" fontId="0" fillId="0" borderId="0" xfId="0" applyNumberFormat="1" applyBorder="1"/>
    <xf numFmtId="0" fontId="3" fillId="0" borderId="0" xfId="0" applyFont="1" applyBorder="1" applyAlignment="1">
      <alignment horizontal="center" vertical="center"/>
    </xf>
    <xf numFmtId="10" fontId="2" fillId="6" borderId="0" xfId="2" applyNumberFormat="1" applyFont="1" applyFill="1" applyBorder="1"/>
    <xf numFmtId="9" fontId="0" fillId="6" borderId="0" xfId="0" applyNumberFormat="1" applyFill="1" applyBorder="1"/>
    <xf numFmtId="10" fontId="0" fillId="6" borderId="0" xfId="0" applyNumberFormat="1" applyFill="1" applyBorder="1"/>
    <xf numFmtId="0" fontId="0" fillId="0" borderId="0" xfId="0" applyBorder="1" applyAlignment="1">
      <alignment wrapText="1"/>
    </xf>
    <xf numFmtId="0" fontId="9" fillId="0" borderId="0" xfId="0" applyFont="1" applyAlignment="1">
      <alignment horizontal="center" vertical="center" wrapText="1"/>
    </xf>
    <xf numFmtId="0" fontId="9" fillId="0" borderId="0" xfId="0" applyFont="1" applyBorder="1"/>
    <xf numFmtId="0" fontId="9" fillId="7" borderId="0" xfId="0" applyFont="1" applyFill="1" applyAlignment="1">
      <alignment horizontal="center" vertical="center"/>
    </xf>
    <xf numFmtId="0" fontId="9" fillId="8" borderId="0" xfId="0" applyFont="1" applyFill="1" applyAlignment="1">
      <alignment horizontal="left" vertical="center" wrapText="1"/>
    </xf>
    <xf numFmtId="9" fontId="9" fillId="8" borderId="0" xfId="0" applyNumberFormat="1" applyFont="1" applyFill="1" applyAlignment="1">
      <alignment horizontal="center" vertical="center"/>
    </xf>
    <xf numFmtId="0" fontId="9" fillId="7" borderId="0" xfId="0" applyFont="1" applyFill="1" applyAlignment="1">
      <alignment horizontal="left" vertical="center"/>
    </xf>
    <xf numFmtId="165" fontId="9" fillId="7" borderId="0" xfId="0" applyNumberFormat="1" applyFont="1" applyFill="1" applyBorder="1" applyAlignment="1">
      <alignment horizontal="right"/>
    </xf>
    <xf numFmtId="168" fontId="9" fillId="7" borderId="0" xfId="2" applyNumberFormat="1" applyFont="1" applyFill="1" applyBorder="1" applyAlignment="1"/>
    <xf numFmtId="9" fontId="9" fillId="7" borderId="0" xfId="2" applyFont="1" applyFill="1" applyBorder="1" applyAlignment="1">
      <alignment horizontal="right"/>
    </xf>
    <xf numFmtId="164" fontId="9" fillId="7" borderId="0" xfId="0" applyNumberFormat="1" applyFont="1" applyFill="1" applyBorder="1" applyAlignment="1"/>
    <xf numFmtId="0" fontId="9" fillId="8" borderId="0" xfId="0" applyFont="1" applyFill="1" applyBorder="1" applyAlignment="1">
      <alignment horizontal="left" vertical="center" wrapText="1"/>
    </xf>
    <xf numFmtId="9" fontId="9" fillId="8" borderId="0" xfId="0" applyNumberFormat="1" applyFont="1" applyFill="1" applyBorder="1" applyAlignment="1">
      <alignment horizontal="center" vertical="center" wrapText="1"/>
    </xf>
    <xf numFmtId="171" fontId="2" fillId="6" borderId="6" xfId="3" applyNumberFormat="1" applyFont="1" applyFill="1" applyBorder="1" applyAlignment="1">
      <alignment horizontal="center" vertical="center"/>
    </xf>
    <xf numFmtId="171" fontId="2" fillId="6" borderId="8" xfId="3" applyNumberFormat="1" applyFont="1" applyFill="1" applyBorder="1" applyAlignment="1">
      <alignment horizontal="center" vertical="center"/>
    </xf>
    <xf numFmtId="171" fontId="5" fillId="6" borderId="6" xfId="3" applyNumberFormat="1" applyFont="1" applyFill="1" applyBorder="1" applyAlignment="1">
      <alignment horizontal="center" vertical="center"/>
    </xf>
    <xf numFmtId="171" fontId="2" fillId="6" borderId="6" xfId="3" applyNumberFormat="1" applyFont="1" applyFill="1" applyBorder="1" applyAlignment="1">
      <alignment horizontal="right" vertical="center"/>
    </xf>
    <xf numFmtId="171" fontId="2" fillId="3" borderId="5" xfId="3" applyNumberFormat="1" applyFont="1" applyFill="1" applyBorder="1" applyAlignment="1">
      <alignment horizontal="right" vertical="center"/>
    </xf>
    <xf numFmtId="171" fontId="5" fillId="6" borderId="6" xfId="3" applyNumberFormat="1" applyFont="1" applyFill="1" applyBorder="1" applyAlignment="1">
      <alignment horizontal="right" vertical="center"/>
    </xf>
    <xf numFmtId="171" fontId="2" fillId="6" borderId="8" xfId="3" applyNumberFormat="1" applyFont="1" applyFill="1" applyBorder="1" applyAlignment="1">
      <alignment horizontal="right" vertical="center"/>
    </xf>
    <xf numFmtId="171" fontId="5" fillId="6" borderId="5" xfId="3" applyNumberFormat="1" applyFont="1" applyFill="1" applyBorder="1" applyAlignment="1">
      <alignment horizontal="right" vertical="center"/>
    </xf>
    <xf numFmtId="9" fontId="5" fillId="6" borderId="5" xfId="3" applyNumberFormat="1" applyFont="1" applyFill="1" applyBorder="1" applyAlignment="1">
      <alignment horizontal="center" vertical="center"/>
    </xf>
    <xf numFmtId="9" fontId="5" fillId="0" borderId="5" xfId="3" applyNumberFormat="1" applyFont="1" applyBorder="1" applyAlignment="1">
      <alignment horizontal="center" vertical="center"/>
    </xf>
    <xf numFmtId="171" fontId="5" fillId="0" borderId="0" xfId="3" applyNumberFormat="1" applyFont="1"/>
    <xf numFmtId="0" fontId="5" fillId="2" borderId="3" xfId="3" applyFont="1" applyFill="1" applyBorder="1" applyAlignment="1">
      <alignment horizontal="center" vertical="center"/>
    </xf>
    <xf numFmtId="0" fontId="5" fillId="2" borderId="4" xfId="3" applyFont="1" applyFill="1" applyBorder="1" applyAlignment="1">
      <alignment horizontal="center" vertical="center"/>
    </xf>
    <xf numFmtId="0" fontId="5" fillId="2" borderId="5" xfId="3" applyFont="1" applyFill="1" applyBorder="1" applyAlignment="1">
      <alignment horizontal="center" vertical="center"/>
    </xf>
    <xf numFmtId="171" fontId="5" fillId="2" borderId="6" xfId="3" applyNumberFormat="1" applyFont="1" applyFill="1" applyBorder="1" applyAlignment="1">
      <alignment horizontal="center" vertical="center"/>
    </xf>
    <xf numFmtId="167" fontId="5" fillId="2" borderId="5" xfId="1" applyNumberFormat="1" applyFont="1" applyFill="1" applyBorder="1" applyAlignment="1">
      <alignment horizontal="center" vertical="center"/>
    </xf>
    <xf numFmtId="0" fontId="5" fillId="2" borderId="3" xfId="3" applyFont="1" applyFill="1" applyBorder="1" applyAlignment="1">
      <alignment horizontal="center" vertical="center" wrapText="1"/>
    </xf>
    <xf numFmtId="0" fontId="5" fillId="2" borderId="4" xfId="3" applyFont="1" applyFill="1" applyBorder="1" applyAlignment="1">
      <alignment horizontal="center" vertical="center" wrapText="1"/>
    </xf>
    <xf numFmtId="0" fontId="11" fillId="0" borderId="0" xfId="0" applyFont="1" applyBorder="1"/>
    <xf numFmtId="10" fontId="5" fillId="0" borderId="0" xfId="0" applyNumberFormat="1" applyFont="1" applyBorder="1" applyAlignment="1">
      <alignment horizontal="right" vertical="center"/>
    </xf>
    <xf numFmtId="0" fontId="5" fillId="0" borderId="0" xfId="0" applyFont="1" applyBorder="1"/>
    <xf numFmtId="10" fontId="5" fillId="0" borderId="0" xfId="2" applyNumberFormat="1" applyFont="1" applyBorder="1" applyAlignment="1">
      <alignment horizontal="right" vertical="center"/>
    </xf>
    <xf numFmtId="0" fontId="0" fillId="0" borderId="0" xfId="0" quotePrefix="1" applyBorder="1"/>
    <xf numFmtId="0" fontId="0" fillId="0" borderId="1" xfId="0" applyFont="1" applyBorder="1"/>
    <xf numFmtId="0" fontId="0" fillId="0" borderId="1" xfId="0" applyFont="1" applyBorder="1" applyAlignment="1">
      <alignment wrapText="1"/>
    </xf>
    <xf numFmtId="0" fontId="0" fillId="0" borderId="1" xfId="0" applyBorder="1"/>
    <xf numFmtId="0" fontId="2" fillId="0" borderId="1" xfId="0" applyFont="1" applyBorder="1"/>
    <xf numFmtId="0" fontId="5" fillId="2" borderId="10" xfId="3" applyFont="1" applyFill="1" applyBorder="1" applyAlignment="1">
      <alignment horizontal="center" vertical="center"/>
    </xf>
    <xf numFmtId="0" fontId="5" fillId="2" borderId="11" xfId="3" applyFont="1" applyFill="1" applyBorder="1" applyAlignment="1">
      <alignment horizontal="center" vertical="center"/>
    </xf>
    <xf numFmtId="0" fontId="5" fillId="2" borderId="9" xfId="3" applyFont="1" applyFill="1" applyBorder="1" applyAlignment="1">
      <alignment horizontal="center" vertical="center"/>
    </xf>
    <xf numFmtId="167" fontId="2" fillId="0" borderId="12" xfId="1" applyNumberFormat="1" applyFont="1" applyBorder="1" applyAlignment="1"/>
    <xf numFmtId="167" fontId="5" fillId="5" borderId="13" xfId="1" applyNumberFormat="1" applyFont="1" applyFill="1" applyBorder="1" applyAlignment="1"/>
    <xf numFmtId="171" fontId="2" fillId="9" borderId="6" xfId="3" applyNumberFormat="1" applyFont="1" applyFill="1" applyBorder="1" applyAlignment="1">
      <alignment horizontal="center" vertical="center"/>
    </xf>
    <xf numFmtId="171" fontId="2" fillId="9" borderId="6" xfId="3" applyNumberFormat="1" applyFont="1" applyFill="1" applyBorder="1" applyAlignment="1">
      <alignment horizontal="left" vertical="top"/>
    </xf>
    <xf numFmtId="172" fontId="11" fillId="5" borderId="1" xfId="6" applyNumberFormat="1" applyFont="1" applyFill="1" applyBorder="1"/>
    <xf numFmtId="0" fontId="4" fillId="0" borderId="0" xfId="0" applyFont="1" applyBorder="1" applyAlignment="1">
      <alignment horizontal="center"/>
    </xf>
    <xf numFmtId="0" fontId="5" fillId="0" borderId="0" xfId="0" applyFont="1" applyBorder="1" applyAlignment="1">
      <alignment horizontal="center" wrapText="1"/>
    </xf>
    <xf numFmtId="0" fontId="0" fillId="0" borderId="0" xfId="0" applyAlignment="1">
      <alignment horizontal="center" vertical="center" wrapText="1"/>
    </xf>
    <xf numFmtId="0" fontId="5" fillId="0" borderId="3" xfId="0" applyFont="1" applyBorder="1"/>
    <xf numFmtId="10" fontId="5" fillId="0" borderId="2" xfId="0" applyNumberFormat="1" applyFont="1" applyBorder="1" applyAlignment="1">
      <alignment horizontal="right" vertical="center"/>
    </xf>
    <xf numFmtId="0" fontId="0" fillId="0" borderId="2" xfId="0" applyFont="1" applyBorder="1"/>
    <xf numFmtId="0" fontId="0" fillId="0" borderId="4" xfId="0" applyFont="1" applyBorder="1"/>
    <xf numFmtId="0" fontId="5" fillId="0" borderId="5" xfId="0" applyFont="1" applyBorder="1"/>
    <xf numFmtId="0" fontId="2" fillId="0" borderId="0" xfId="0" applyFont="1" applyBorder="1" applyAlignment="1">
      <alignment horizontal="left" wrapText="1"/>
    </xf>
    <xf numFmtId="164" fontId="2" fillId="0" borderId="0" xfId="0" applyNumberFormat="1" applyFont="1" applyBorder="1" applyAlignment="1">
      <alignment horizontal="right" wrapText="1"/>
    </xf>
    <xf numFmtId="164" fontId="2" fillId="0" borderId="6" xfId="0" applyNumberFormat="1" applyFont="1" applyBorder="1" applyAlignment="1">
      <alignment horizontal="right" wrapText="1"/>
    </xf>
    <xf numFmtId="0" fontId="2" fillId="0" borderId="5" xfId="0" applyFont="1" applyBorder="1"/>
    <xf numFmtId="0" fontId="5" fillId="0" borderId="0" xfId="0" applyFont="1" applyBorder="1" applyAlignment="1">
      <alignment horizontal="left" wrapText="1"/>
    </xf>
    <xf numFmtId="0" fontId="5" fillId="0" borderId="6" xfId="0" applyFont="1" applyBorder="1" applyAlignment="1">
      <alignment horizontal="center" wrapText="1"/>
    </xf>
    <xf numFmtId="171" fontId="5" fillId="0" borderId="0" xfId="0" applyNumberFormat="1" applyFont="1" applyBorder="1" applyAlignment="1">
      <alignment horizontal="right" vertical="center"/>
    </xf>
    <xf numFmtId="164" fontId="5" fillId="0" borderId="0" xfId="0" applyNumberFormat="1" applyFont="1" applyBorder="1" applyAlignment="1">
      <alignment horizontal="right" vertical="center"/>
    </xf>
    <xf numFmtId="164" fontId="5" fillId="0" borderId="6" xfId="0" applyNumberFormat="1" applyFont="1" applyBorder="1" applyAlignment="1">
      <alignment horizontal="right" vertical="center"/>
    </xf>
    <xf numFmtId="0" fontId="0" fillId="0" borderId="5" xfId="0" applyFont="1" applyBorder="1"/>
    <xf numFmtId="10" fontId="5" fillId="0" borderId="6" xfId="0" applyNumberFormat="1" applyFont="1" applyBorder="1" applyAlignment="1">
      <alignment horizontal="right" vertical="center"/>
    </xf>
    <xf numFmtId="0" fontId="0" fillId="0" borderId="7" xfId="0" applyFont="1" applyBorder="1"/>
    <xf numFmtId="0" fontId="5" fillId="0" borderId="1" xfId="0" applyFont="1" applyBorder="1" applyAlignment="1">
      <alignment horizontal="left" wrapText="1"/>
    </xf>
    <xf numFmtId="0" fontId="5" fillId="0" borderId="1" xfId="0" applyFont="1" applyBorder="1" applyAlignment="1">
      <alignment horizontal="right" wrapText="1"/>
    </xf>
    <xf numFmtId="0" fontId="5" fillId="0" borderId="8" xfId="0" applyFont="1" applyBorder="1" applyAlignment="1">
      <alignment horizontal="right" wrapText="1"/>
    </xf>
    <xf numFmtId="10" fontId="0" fillId="10" borderId="0" xfId="0" applyNumberFormat="1" applyFill="1" applyBorder="1"/>
    <xf numFmtId="0" fontId="15" fillId="11" borderId="0" xfId="0" applyFont="1" applyFill="1" applyBorder="1"/>
    <xf numFmtId="0" fontId="16" fillId="12" borderId="0" xfId="0" applyFont="1" applyFill="1" applyBorder="1"/>
    <xf numFmtId="0" fontId="17" fillId="12" borderId="0" xfId="0" applyFont="1" applyFill="1" applyBorder="1" applyAlignment="1">
      <alignment horizontal="center" vertical="center"/>
    </xf>
    <xf numFmtId="0" fontId="5" fillId="13" borderId="0" xfId="0" applyFont="1" applyFill="1" applyBorder="1" applyAlignment="1">
      <alignment horizontal="center" vertical="center"/>
    </xf>
    <xf numFmtId="164" fontId="2" fillId="15" borderId="0" xfId="0" applyNumberFormat="1" applyFont="1" applyFill="1" applyBorder="1"/>
    <xf numFmtId="0" fontId="2" fillId="0" borderId="0" xfId="0" applyFont="1" applyBorder="1" applyAlignment="1">
      <alignment horizontal="left" wrapText="1" indent="1"/>
    </xf>
    <xf numFmtId="0" fontId="2" fillId="0" borderId="0" xfId="0" applyFont="1" applyBorder="1" applyAlignment="1">
      <alignment horizontal="left" indent="1"/>
    </xf>
    <xf numFmtId="0" fontId="2" fillId="3" borderId="0" xfId="0" applyFont="1" applyFill="1" applyBorder="1" applyAlignment="1">
      <alignment horizontal="left" indent="1"/>
    </xf>
    <xf numFmtId="0" fontId="2" fillId="0" borderId="0" xfId="0" applyFont="1" applyFill="1" applyBorder="1" applyAlignment="1">
      <alignment horizontal="left" indent="1"/>
    </xf>
    <xf numFmtId="167" fontId="5" fillId="3" borderId="0" xfId="1" applyNumberFormat="1" applyFont="1" applyFill="1" applyBorder="1"/>
    <xf numFmtId="165" fontId="5" fillId="3" borderId="0" xfId="0" applyNumberFormat="1" applyFont="1" applyFill="1" applyBorder="1"/>
    <xf numFmtId="0" fontId="18" fillId="13" borderId="0" xfId="0" applyFont="1" applyFill="1" applyBorder="1" applyAlignment="1">
      <alignment horizontal="center" vertical="center"/>
    </xf>
    <xf numFmtId="167" fontId="2" fillId="0" borderId="0" xfId="1" applyNumberFormat="1" applyFont="1" applyBorder="1" applyAlignment="1">
      <alignment horizontal="left" indent="1"/>
    </xf>
    <xf numFmtId="167" fontId="2" fillId="4" borderId="0" xfId="1" applyNumberFormat="1" applyFont="1" applyFill="1" applyBorder="1" applyAlignment="1">
      <alignment horizontal="left" vertical="center" indent="1"/>
    </xf>
    <xf numFmtId="167" fontId="2" fillId="4" borderId="0" xfId="1" applyNumberFormat="1" applyFont="1" applyFill="1" applyBorder="1" applyAlignment="1">
      <alignment horizontal="left" indent="1"/>
    </xf>
    <xf numFmtId="164" fontId="2" fillId="15" borderId="0" xfId="0" applyNumberFormat="1" applyFont="1" applyFill="1"/>
    <xf numFmtId="164" fontId="5" fillId="5" borderId="0" xfId="0" applyNumberFormat="1" applyFont="1" applyFill="1" applyBorder="1"/>
    <xf numFmtId="164" fontId="5" fillId="17" borderId="0" xfId="0" applyNumberFormat="1" applyFont="1" applyFill="1"/>
    <xf numFmtId="9" fontId="5" fillId="17" borderId="0" xfId="2" applyFont="1" applyFill="1" applyBorder="1"/>
    <xf numFmtId="164" fontId="5" fillId="5" borderId="0" xfId="0" applyNumberFormat="1" applyFont="1" applyFill="1"/>
    <xf numFmtId="0" fontId="18" fillId="13" borderId="0" xfId="0" applyFont="1" applyFill="1" applyAlignment="1">
      <alignment horizontal="center"/>
    </xf>
    <xf numFmtId="0" fontId="11" fillId="14" borderId="16" xfId="0" applyFont="1" applyFill="1" applyBorder="1"/>
    <xf numFmtId="0" fontId="4" fillId="14" borderId="19" xfId="0" applyFont="1" applyFill="1" applyBorder="1" applyAlignment="1">
      <alignment horizontal="center"/>
    </xf>
    <xf numFmtId="164" fontId="2" fillId="15" borderId="20" xfId="0" applyNumberFormat="1" applyFont="1" applyFill="1" applyBorder="1"/>
    <xf numFmtId="0" fontId="0" fillId="15" borderId="22" xfId="0" applyFill="1" applyBorder="1"/>
    <xf numFmtId="164" fontId="2" fillId="15" borderId="23" xfId="0" applyNumberFormat="1" applyFont="1" applyFill="1" applyBorder="1"/>
    <xf numFmtId="0" fontId="0" fillId="15" borderId="24" xfId="0" applyFill="1" applyBorder="1"/>
    <xf numFmtId="164" fontId="2" fillId="15" borderId="25" xfId="0" applyNumberFormat="1" applyFont="1" applyFill="1" applyBorder="1"/>
    <xf numFmtId="164" fontId="5" fillId="5" borderId="15" xfId="0" applyNumberFormat="1" applyFont="1" applyFill="1" applyBorder="1"/>
    <xf numFmtId="0" fontId="0" fillId="0" borderId="17" xfId="0" applyBorder="1"/>
    <xf numFmtId="167" fontId="2" fillId="0" borderId="17" xfId="1" applyNumberFormat="1" applyFont="1" applyBorder="1" applyAlignment="1">
      <alignment horizontal="left" indent="1"/>
    </xf>
    <xf numFmtId="167" fontId="2" fillId="4" borderId="17" xfId="1" applyNumberFormat="1" applyFont="1" applyFill="1" applyBorder="1" applyAlignment="1">
      <alignment horizontal="left" vertical="center" indent="1"/>
    </xf>
    <xf numFmtId="167" fontId="2" fillId="4" borderId="17" xfId="1" applyNumberFormat="1" applyFont="1" applyFill="1" applyBorder="1" applyAlignment="1">
      <alignment horizontal="left" indent="1"/>
    </xf>
    <xf numFmtId="167" fontId="2" fillId="5" borderId="18" xfId="1" applyNumberFormat="1" applyFont="1" applyFill="1" applyBorder="1" applyAlignment="1"/>
    <xf numFmtId="164" fontId="2" fillId="0" borderId="20" xfId="0" applyNumberFormat="1" applyFont="1" applyBorder="1"/>
    <xf numFmtId="164" fontId="5" fillId="5" borderId="21" xfId="0" applyNumberFormat="1" applyFont="1" applyFill="1" applyBorder="1"/>
    <xf numFmtId="0" fontId="18" fillId="13" borderId="1" xfId="0" applyFont="1" applyFill="1" applyBorder="1" applyAlignment="1">
      <alignment horizontal="center" vertical="center"/>
    </xf>
    <xf numFmtId="0" fontId="18" fillId="13" borderId="23" xfId="0" applyFont="1" applyFill="1" applyBorder="1" applyAlignment="1">
      <alignment horizontal="center" vertical="center"/>
    </xf>
    <xf numFmtId="167" fontId="2" fillId="0" borderId="2" xfId="1" applyNumberFormat="1" applyFont="1" applyBorder="1" applyAlignment="1"/>
    <xf numFmtId="167" fontId="2" fillId="0" borderId="26" xfId="1" applyNumberFormat="1" applyFont="1" applyBorder="1" applyAlignment="1"/>
    <xf numFmtId="164" fontId="5" fillId="5" borderId="1" xfId="0" applyNumberFormat="1" applyFont="1" applyFill="1" applyBorder="1"/>
    <xf numFmtId="0" fontId="2" fillId="0" borderId="3" xfId="0" applyFont="1" applyBorder="1"/>
    <xf numFmtId="0" fontId="2" fillId="0" borderId="7" xfId="0" applyFont="1" applyBorder="1"/>
    <xf numFmtId="0" fontId="0" fillId="0" borderId="4" xfId="0" applyBorder="1"/>
    <xf numFmtId="167" fontId="2" fillId="0" borderId="6" xfId="1" applyNumberFormat="1" applyFont="1" applyBorder="1"/>
    <xf numFmtId="165" fontId="2" fillId="0" borderId="8" xfId="0" applyNumberFormat="1" applyFont="1" applyBorder="1"/>
    <xf numFmtId="164" fontId="5" fillId="5" borderId="8" xfId="0" applyNumberFormat="1" applyFont="1" applyFill="1" applyBorder="1"/>
    <xf numFmtId="164" fontId="2" fillId="0" borderId="2" xfId="0" applyNumberFormat="1" applyFont="1" applyBorder="1"/>
    <xf numFmtId="170" fontId="2" fillId="0" borderId="0" xfId="0" applyNumberFormat="1" applyFont="1" applyBorder="1"/>
    <xf numFmtId="164" fontId="2" fillId="0" borderId="4" xfId="0" applyNumberFormat="1" applyFont="1" applyBorder="1"/>
    <xf numFmtId="170" fontId="2" fillId="0" borderId="6" xfId="0" applyNumberFormat="1" applyFont="1" applyBorder="1"/>
    <xf numFmtId="164" fontId="2" fillId="0" borderId="6" xfId="0" applyNumberFormat="1" applyFont="1" applyBorder="1"/>
    <xf numFmtId="0" fontId="2" fillId="0" borderId="6" xfId="0" applyFont="1" applyBorder="1"/>
    <xf numFmtId="0" fontId="2" fillId="0" borderId="8" xfId="0" applyFont="1" applyBorder="1"/>
    <xf numFmtId="0" fontId="2" fillId="0" borderId="27" xfId="0" applyFont="1" applyBorder="1"/>
    <xf numFmtId="0" fontId="2" fillId="0" borderId="28" xfId="0" applyFont="1" applyBorder="1"/>
    <xf numFmtId="164" fontId="2" fillId="18" borderId="28" xfId="0" applyNumberFormat="1" applyFont="1" applyFill="1" applyBorder="1"/>
    <xf numFmtId="164" fontId="2" fillId="18" borderId="29" xfId="0" applyNumberFormat="1" applyFont="1" applyFill="1" applyBorder="1"/>
    <xf numFmtId="0" fontId="2" fillId="0" borderId="30" xfId="0" applyFont="1" applyBorder="1"/>
    <xf numFmtId="0" fontId="2" fillId="0" borderId="10" xfId="0" applyFont="1" applyBorder="1"/>
    <xf numFmtId="164" fontId="2" fillId="19" borderId="10" xfId="0" applyNumberFormat="1" applyFont="1" applyFill="1" applyBorder="1"/>
    <xf numFmtId="164" fontId="2" fillId="19" borderId="31" xfId="0" applyNumberFormat="1" applyFont="1" applyFill="1" applyBorder="1"/>
    <xf numFmtId="165" fontId="2" fillId="0" borderId="10" xfId="0" applyNumberFormat="1" applyFont="1" applyBorder="1"/>
    <xf numFmtId="164" fontId="2" fillId="15" borderId="10" xfId="0" applyNumberFormat="1" applyFont="1" applyFill="1" applyBorder="1"/>
    <xf numFmtId="164" fontId="2" fillId="15" borderId="31" xfId="0" applyNumberFormat="1" applyFont="1" applyFill="1" applyBorder="1"/>
    <xf numFmtId="0" fontId="2" fillId="0" borderId="24" xfId="0" applyFont="1" applyBorder="1"/>
    <xf numFmtId="0" fontId="2" fillId="0" borderId="32" xfId="0" applyFont="1" applyBorder="1"/>
    <xf numFmtId="164" fontId="5" fillId="5" borderId="32" xfId="0" applyNumberFormat="1" applyFont="1" applyFill="1" applyBorder="1"/>
    <xf numFmtId="164" fontId="5" fillId="5" borderId="25" xfId="0" applyNumberFormat="1" applyFont="1" applyFill="1" applyBorder="1"/>
    <xf numFmtId="0" fontId="17" fillId="20" borderId="33" xfId="0" applyFont="1" applyFill="1" applyBorder="1" applyAlignment="1">
      <alignment horizontal="center"/>
    </xf>
    <xf numFmtId="174" fontId="17" fillId="20" borderId="34" xfId="0" applyNumberFormat="1" applyFont="1" applyFill="1" applyBorder="1" applyAlignment="1">
      <alignment horizontal="center"/>
    </xf>
    <xf numFmtId="10" fontId="17" fillId="20" borderId="34" xfId="0" applyNumberFormat="1" applyFont="1" applyFill="1" applyBorder="1" applyAlignment="1">
      <alignment horizontal="center"/>
    </xf>
    <xf numFmtId="0" fontId="19" fillId="0" borderId="0" xfId="0" applyFont="1" applyAlignment="1">
      <alignment horizontal="center" vertical="center" wrapText="1"/>
    </xf>
    <xf numFmtId="0" fontId="21" fillId="18" borderId="0" xfId="0" applyFont="1" applyFill="1" applyBorder="1" applyAlignment="1">
      <alignment horizontal="center" vertical="center"/>
    </xf>
    <xf numFmtId="0" fontId="22" fillId="0" borderId="0" xfId="0" applyFont="1" applyBorder="1"/>
    <xf numFmtId="0" fontId="23" fillId="19" borderId="0" xfId="0" applyFont="1" applyFill="1" applyBorder="1" applyAlignment="1">
      <alignment horizontal="center" vertical="center"/>
    </xf>
    <xf numFmtId="0" fontId="2" fillId="14" borderId="0" xfId="0" applyFont="1" applyFill="1" applyBorder="1" applyAlignment="1">
      <alignment horizontal="left" wrapText="1"/>
    </xf>
    <xf numFmtId="164" fontId="2" fillId="14" borderId="0" xfId="0" applyNumberFormat="1" applyFont="1" applyFill="1" applyBorder="1" applyAlignment="1">
      <alignment horizontal="right" wrapText="1"/>
    </xf>
    <xf numFmtId="0" fontId="5" fillId="14" borderId="0" xfId="0" applyFont="1" applyFill="1" applyBorder="1" applyAlignment="1">
      <alignment horizontal="left" wrapText="1"/>
    </xf>
    <xf numFmtId="0" fontId="17" fillId="16" borderId="0" xfId="0" applyFont="1" applyFill="1" applyBorder="1" applyAlignment="1">
      <alignment horizontal="center" wrapText="1"/>
    </xf>
    <xf numFmtId="0" fontId="5" fillId="13" borderId="0" xfId="0" applyFont="1" applyFill="1" applyBorder="1" applyAlignment="1">
      <alignment horizontal="left" wrapText="1"/>
    </xf>
    <xf numFmtId="0" fontId="5" fillId="13" borderId="0" xfId="0" applyFont="1" applyFill="1" applyBorder="1"/>
    <xf numFmtId="164" fontId="5" fillId="18" borderId="0" xfId="0" applyNumberFormat="1" applyFont="1" applyFill="1" applyBorder="1" applyAlignment="1">
      <alignment horizontal="right" vertical="center"/>
    </xf>
    <xf numFmtId="171" fontId="5" fillId="19" borderId="0" xfId="0" applyNumberFormat="1" applyFont="1" applyFill="1" applyBorder="1" applyAlignment="1">
      <alignment horizontal="right" vertical="center"/>
    </xf>
    <xf numFmtId="10" fontId="5" fillId="18" borderId="0" xfId="2" applyNumberFormat="1" applyFont="1" applyFill="1" applyBorder="1" applyAlignment="1">
      <alignment horizontal="right" vertical="center"/>
    </xf>
    <xf numFmtId="10" fontId="5" fillId="19" borderId="0" xfId="0" applyNumberFormat="1" applyFont="1" applyFill="1" applyBorder="1" applyAlignment="1">
      <alignment horizontal="right" vertical="center"/>
    </xf>
    <xf numFmtId="0" fontId="9" fillId="18" borderId="46" xfId="0" applyFont="1" applyFill="1" applyBorder="1" applyAlignment="1">
      <alignment horizontal="center" vertical="center" wrapText="1"/>
    </xf>
    <xf numFmtId="0" fontId="9" fillId="18" borderId="47" xfId="0" applyFont="1" applyFill="1" applyBorder="1" applyAlignment="1">
      <alignment horizontal="left" vertical="center" wrapText="1"/>
    </xf>
    <xf numFmtId="9" fontId="9" fillId="18" borderId="48" xfId="0" applyNumberFormat="1" applyFont="1" applyFill="1" applyBorder="1" applyAlignment="1">
      <alignment horizontal="center" vertical="center"/>
    </xf>
    <xf numFmtId="0" fontId="9" fillId="18" borderId="49" xfId="0" applyFont="1" applyFill="1" applyBorder="1" applyAlignment="1">
      <alignment horizontal="center" vertical="center" wrapText="1"/>
    </xf>
    <xf numFmtId="0" fontId="9" fillId="18" borderId="50" xfId="0" applyFont="1" applyFill="1" applyBorder="1" applyAlignment="1">
      <alignment horizontal="left" vertical="center" wrapText="1"/>
    </xf>
    <xf numFmtId="9" fontId="9" fillId="18" borderId="51" xfId="0" applyNumberFormat="1" applyFont="1" applyFill="1" applyBorder="1" applyAlignment="1">
      <alignment horizontal="center" vertical="center" wrapText="1"/>
    </xf>
    <xf numFmtId="0" fontId="9" fillId="18" borderId="52" xfId="0" applyFont="1" applyFill="1" applyBorder="1" applyAlignment="1">
      <alignment horizontal="center" vertical="center" wrapText="1"/>
    </xf>
    <xf numFmtId="0" fontId="9" fillId="21" borderId="53" xfId="0" applyFont="1" applyFill="1" applyBorder="1" applyAlignment="1">
      <alignment horizontal="center" vertical="center"/>
    </xf>
    <xf numFmtId="0" fontId="9" fillId="21" borderId="37" xfId="0" applyFont="1" applyFill="1" applyBorder="1" applyAlignment="1">
      <alignment horizontal="center" vertical="center"/>
    </xf>
    <xf numFmtId="0" fontId="9" fillId="21" borderId="54" xfId="0" applyFont="1" applyFill="1" applyBorder="1" applyAlignment="1">
      <alignment horizontal="center" vertical="center"/>
    </xf>
    <xf numFmtId="0" fontId="9" fillId="21" borderId="55" xfId="0" applyFont="1" applyFill="1" applyBorder="1" applyAlignment="1">
      <alignment horizontal="left" vertical="center"/>
    </xf>
    <xf numFmtId="165" fontId="9" fillId="21" borderId="56" xfId="0" applyNumberFormat="1" applyFont="1" applyFill="1" applyBorder="1" applyAlignment="1">
      <alignment horizontal="right"/>
    </xf>
    <xf numFmtId="165" fontId="9" fillId="21" borderId="57" xfId="0" applyNumberFormat="1" applyFont="1" applyFill="1" applyBorder="1" applyAlignment="1">
      <alignment horizontal="right"/>
    </xf>
    <xf numFmtId="168" fontId="9" fillId="21" borderId="56" xfId="2" applyNumberFormat="1" applyFont="1" applyFill="1" applyBorder="1" applyAlignment="1"/>
    <xf numFmtId="168" fontId="9" fillId="21" borderId="57" xfId="2" applyNumberFormat="1" applyFont="1" applyFill="1" applyBorder="1" applyAlignment="1"/>
    <xf numFmtId="9" fontId="9" fillId="21" borderId="56" xfId="2" applyFont="1" applyFill="1" applyBorder="1" applyAlignment="1">
      <alignment horizontal="right"/>
    </xf>
    <xf numFmtId="9" fontId="9" fillId="21" borderId="57" xfId="2" applyFont="1" applyFill="1" applyBorder="1" applyAlignment="1">
      <alignment horizontal="right"/>
    </xf>
    <xf numFmtId="164" fontId="9" fillId="21" borderId="56" xfId="0" applyNumberFormat="1" applyFont="1" applyFill="1" applyBorder="1" applyAlignment="1"/>
    <xf numFmtId="164" fontId="9" fillId="21" borderId="57" xfId="0" applyNumberFormat="1" applyFont="1" applyFill="1" applyBorder="1" applyAlignment="1"/>
    <xf numFmtId="0" fontId="9" fillId="21" borderId="58" xfId="0" applyFont="1" applyFill="1" applyBorder="1" applyAlignment="1">
      <alignment horizontal="left" vertical="center"/>
    </xf>
    <xf numFmtId="164" fontId="5" fillId="5" borderId="38" xfId="0" applyNumberFormat="1" applyFont="1" applyFill="1" applyBorder="1"/>
    <xf numFmtId="0" fontId="0" fillId="0" borderId="40" xfId="0" applyBorder="1"/>
    <xf numFmtId="167" fontId="2" fillId="0" borderId="40" xfId="1" applyNumberFormat="1" applyFont="1" applyBorder="1" applyAlignment="1"/>
    <xf numFmtId="167" fontId="2" fillId="4" borderId="40" xfId="1" applyNumberFormat="1" applyFont="1" applyFill="1" applyBorder="1" applyAlignment="1">
      <alignment vertical="center"/>
    </xf>
    <xf numFmtId="167" fontId="2" fillId="4" borderId="40" xfId="1" applyNumberFormat="1" applyFont="1" applyFill="1" applyBorder="1" applyAlignment="1"/>
    <xf numFmtId="167" fontId="2" fillId="5" borderId="41" xfId="1" applyNumberFormat="1" applyFont="1" applyFill="1" applyBorder="1" applyAlignment="1"/>
    <xf numFmtId="0" fontId="18" fillId="13" borderId="43" xfId="0" applyFont="1" applyFill="1" applyBorder="1" applyAlignment="1">
      <alignment horizontal="center" vertical="center"/>
    </xf>
    <xf numFmtId="164" fontId="2" fillId="0" borderId="43" xfId="0" applyNumberFormat="1" applyFont="1" applyBorder="1"/>
    <xf numFmtId="164" fontId="2" fillId="15" borderId="43" xfId="0" applyNumberFormat="1" applyFont="1" applyFill="1" applyBorder="1"/>
    <xf numFmtId="167" fontId="2" fillId="0" borderId="43" xfId="1" applyNumberFormat="1" applyFont="1" applyBorder="1" applyAlignment="1"/>
    <xf numFmtId="164" fontId="5" fillId="5" borderId="44" xfId="0" applyNumberFormat="1" applyFont="1" applyFill="1" applyBorder="1"/>
    <xf numFmtId="0" fontId="7" fillId="0" borderId="28" xfId="0" applyFont="1" applyBorder="1" applyAlignment="1">
      <alignment horizontal="center"/>
    </xf>
    <xf numFmtId="0" fontId="7" fillId="0" borderId="29" xfId="0" applyFont="1" applyBorder="1" applyAlignment="1">
      <alignment horizontal="center"/>
    </xf>
    <xf numFmtId="164" fontId="2" fillId="0" borderId="10" xfId="0" applyNumberFormat="1" applyFont="1" applyBorder="1"/>
    <xf numFmtId="164" fontId="2" fillId="0" borderId="31" xfId="0" applyNumberFormat="1" applyFont="1" applyBorder="1"/>
    <xf numFmtId="164" fontId="17" fillId="20" borderId="34" xfId="0" applyNumberFormat="1" applyFont="1" applyFill="1" applyBorder="1" applyAlignment="1">
      <alignment horizontal="center"/>
    </xf>
    <xf numFmtId="0" fontId="17" fillId="22" borderId="61" xfId="0" applyFont="1" applyFill="1" applyBorder="1" applyAlignment="1">
      <alignment horizontal="center"/>
    </xf>
    <xf numFmtId="0" fontId="17" fillId="22" borderId="62" xfId="0" applyFont="1" applyFill="1" applyBorder="1" applyAlignment="1">
      <alignment horizontal="center"/>
    </xf>
    <xf numFmtId="164" fontId="17" fillId="22" borderId="63" xfId="0" applyNumberFormat="1" applyFont="1" applyFill="1" applyBorder="1" applyAlignment="1">
      <alignment horizontal="center"/>
    </xf>
    <xf numFmtId="10" fontId="17" fillId="22" borderId="64" xfId="0" applyNumberFormat="1" applyFont="1" applyFill="1" applyBorder="1" applyAlignment="1">
      <alignment horizontal="center"/>
    </xf>
    <xf numFmtId="10" fontId="5" fillId="14" borderId="14" xfId="0" applyNumberFormat="1" applyFont="1" applyFill="1" applyBorder="1" applyAlignment="1">
      <alignment horizontal="right" vertical="center"/>
    </xf>
    <xf numFmtId="0" fontId="0" fillId="14" borderId="14" xfId="0" applyFont="1" applyFill="1" applyBorder="1"/>
    <xf numFmtId="0" fontId="5" fillId="13" borderId="15" xfId="0" applyFont="1" applyFill="1" applyBorder="1" applyAlignment="1">
      <alignment horizontal="left" wrapText="1"/>
    </xf>
    <xf numFmtId="0" fontId="24" fillId="14" borderId="15" xfId="0" applyFont="1" applyFill="1" applyBorder="1" applyAlignment="1">
      <alignment horizontal="right" wrapText="1"/>
    </xf>
    <xf numFmtId="0" fontId="25" fillId="14" borderId="15" xfId="0" applyFont="1" applyFill="1" applyBorder="1" applyAlignment="1">
      <alignment horizontal="right" wrapText="1"/>
    </xf>
    <xf numFmtId="0" fontId="5" fillId="14" borderId="16" xfId="0" applyFont="1" applyFill="1" applyBorder="1"/>
    <xf numFmtId="0" fontId="5" fillId="14" borderId="17" xfId="0" applyFont="1" applyFill="1" applyBorder="1"/>
    <xf numFmtId="0" fontId="2" fillId="14" borderId="17" xfId="0" applyFont="1" applyFill="1" applyBorder="1"/>
    <xf numFmtId="0" fontId="0" fillId="14" borderId="17" xfId="0" applyFont="1" applyFill="1" applyBorder="1"/>
    <xf numFmtId="0" fontId="0" fillId="14" borderId="18" xfId="0" applyFont="1" applyFill="1" applyBorder="1"/>
    <xf numFmtId="0" fontId="0" fillId="14" borderId="19" xfId="0" applyFont="1" applyFill="1" applyBorder="1"/>
    <xf numFmtId="164" fontId="2" fillId="14" borderId="20" xfId="0" applyNumberFormat="1" applyFont="1" applyFill="1" applyBorder="1" applyAlignment="1">
      <alignment horizontal="right" wrapText="1"/>
    </xf>
    <xf numFmtId="0" fontId="17" fillId="16" borderId="20" xfId="0" applyFont="1" applyFill="1" applyBorder="1" applyAlignment="1">
      <alignment horizontal="center" wrapText="1"/>
    </xf>
    <xf numFmtId="164" fontId="5" fillId="18" borderId="20" xfId="0" applyNumberFormat="1" applyFont="1" applyFill="1" applyBorder="1" applyAlignment="1">
      <alignment horizontal="right" vertical="center"/>
    </xf>
    <xf numFmtId="10" fontId="5" fillId="18" borderId="20" xfId="0" applyNumberFormat="1" applyFont="1" applyFill="1" applyBorder="1" applyAlignment="1">
      <alignment horizontal="right" vertical="center"/>
    </xf>
    <xf numFmtId="0" fontId="25" fillId="14" borderId="21" xfId="0" applyFont="1" applyFill="1" applyBorder="1" applyAlignment="1">
      <alignment horizontal="right" wrapText="1"/>
    </xf>
    <xf numFmtId="0" fontId="26" fillId="11" borderId="0" xfId="3" applyFont="1" applyFill="1"/>
    <xf numFmtId="0" fontId="27" fillId="0" borderId="0" xfId="3" applyFont="1"/>
    <xf numFmtId="0" fontId="28" fillId="0" borderId="0" xfId="3" applyFont="1"/>
    <xf numFmtId="0" fontId="29" fillId="0" borderId="0" xfId="3" applyFont="1"/>
    <xf numFmtId="0" fontId="30" fillId="0" borderId="0" xfId="0" applyFont="1" applyBorder="1"/>
    <xf numFmtId="0" fontId="17" fillId="16" borderId="65" xfId="3" applyFont="1" applyFill="1" applyBorder="1" applyAlignment="1">
      <alignment horizontal="center" vertical="center"/>
    </xf>
    <xf numFmtId="0" fontId="17" fillId="16" borderId="66" xfId="3" applyFont="1" applyFill="1" applyBorder="1" applyAlignment="1">
      <alignment horizontal="center" vertical="center"/>
    </xf>
    <xf numFmtId="0" fontId="5" fillId="13" borderId="67" xfId="3" applyFont="1" applyFill="1" applyBorder="1" applyAlignment="1">
      <alignment horizontal="center" vertical="center"/>
    </xf>
    <xf numFmtId="171" fontId="5" fillId="13" borderId="68" xfId="3" applyNumberFormat="1" applyFont="1" applyFill="1" applyBorder="1" applyAlignment="1">
      <alignment horizontal="center" vertical="center"/>
    </xf>
    <xf numFmtId="9" fontId="2" fillId="3" borderId="67" xfId="3" applyNumberFormat="1" applyFont="1" applyFill="1" applyBorder="1" applyAlignment="1">
      <alignment horizontal="center" vertical="center"/>
    </xf>
    <xf numFmtId="171" fontId="2" fillId="0" borderId="68" xfId="3" applyNumberFormat="1" applyFont="1" applyBorder="1" applyAlignment="1">
      <alignment horizontal="center" vertical="center"/>
    </xf>
    <xf numFmtId="171" fontId="2" fillId="6" borderId="68" xfId="3" applyNumberFormat="1" applyFont="1" applyFill="1" applyBorder="1" applyAlignment="1">
      <alignment horizontal="center" vertical="center"/>
    </xf>
    <xf numFmtId="9" fontId="5" fillId="18" borderId="67" xfId="3" applyNumberFormat="1" applyFont="1" applyFill="1" applyBorder="1" applyAlignment="1">
      <alignment horizontal="center" vertical="center"/>
    </xf>
    <xf numFmtId="171" fontId="5" fillId="18" borderId="68" xfId="3" applyNumberFormat="1" applyFont="1" applyFill="1" applyBorder="1" applyAlignment="1">
      <alignment horizontal="center" vertical="center"/>
    </xf>
    <xf numFmtId="9" fontId="2" fillId="3" borderId="69" xfId="3" applyNumberFormat="1" applyFont="1" applyFill="1" applyBorder="1" applyAlignment="1">
      <alignment horizontal="center" vertical="center"/>
    </xf>
    <xf numFmtId="171" fontId="2" fillId="6" borderId="70" xfId="3" applyNumberFormat="1" applyFont="1" applyFill="1" applyBorder="1" applyAlignment="1">
      <alignment horizontal="center" vertical="center"/>
    </xf>
    <xf numFmtId="171" fontId="2" fillId="3" borderId="67" xfId="3" applyNumberFormat="1" applyFont="1" applyFill="1" applyBorder="1" applyAlignment="1">
      <alignment horizontal="right" vertical="center"/>
    </xf>
    <xf numFmtId="171" fontId="2" fillId="6" borderId="68" xfId="3" applyNumberFormat="1" applyFont="1" applyFill="1" applyBorder="1" applyAlignment="1">
      <alignment horizontal="right" vertical="center"/>
    </xf>
    <xf numFmtId="171" fontId="5" fillId="18" borderId="67" xfId="3" applyNumberFormat="1" applyFont="1" applyFill="1" applyBorder="1" applyAlignment="1">
      <alignment horizontal="right" vertical="center"/>
    </xf>
    <xf numFmtId="171" fontId="5" fillId="18" borderId="68" xfId="3" applyNumberFormat="1" applyFont="1" applyFill="1" applyBorder="1" applyAlignment="1">
      <alignment horizontal="right" vertical="center"/>
    </xf>
    <xf numFmtId="171" fontId="2" fillId="3" borderId="69" xfId="3" applyNumberFormat="1" applyFont="1" applyFill="1" applyBorder="1" applyAlignment="1">
      <alignment horizontal="right" vertical="center"/>
    </xf>
    <xf numFmtId="171" fontId="2" fillId="6" borderId="70" xfId="3" applyNumberFormat="1" applyFont="1" applyFill="1" applyBorder="1" applyAlignment="1">
      <alignment horizontal="right" vertical="center"/>
    </xf>
    <xf numFmtId="0" fontId="17" fillId="16" borderId="71" xfId="3" applyFont="1" applyFill="1" applyBorder="1" applyAlignment="1">
      <alignment horizontal="center" vertical="center" wrapText="1"/>
    </xf>
    <xf numFmtId="0" fontId="17" fillId="16" borderId="72" xfId="3" applyFont="1" applyFill="1" applyBorder="1" applyAlignment="1">
      <alignment horizontal="center" vertical="center"/>
    </xf>
    <xf numFmtId="171" fontId="5" fillId="13" borderId="73" xfId="3" applyNumberFormat="1" applyFont="1" applyFill="1" applyBorder="1" applyAlignment="1">
      <alignment horizontal="center" vertical="center"/>
    </xf>
    <xf numFmtId="167" fontId="5" fillId="13" borderId="74" xfId="1" applyNumberFormat="1" applyFont="1" applyFill="1" applyBorder="1" applyAlignment="1">
      <alignment horizontal="center" vertical="center"/>
    </xf>
    <xf numFmtId="171" fontId="2" fillId="3" borderId="75" xfId="3" applyNumberFormat="1" applyFont="1" applyFill="1" applyBorder="1"/>
    <xf numFmtId="171" fontId="5" fillId="18" borderId="75" xfId="3" applyNumberFormat="1" applyFont="1" applyFill="1" applyBorder="1"/>
    <xf numFmtId="171" fontId="2" fillId="3" borderId="76" xfId="3" applyNumberFormat="1" applyFont="1" applyFill="1" applyBorder="1"/>
    <xf numFmtId="0" fontId="17" fillId="20" borderId="77" xfId="3" applyFont="1" applyFill="1" applyBorder="1" applyAlignment="1">
      <alignment horizontal="center" vertical="center"/>
    </xf>
    <xf numFmtId="0" fontId="17" fillId="20" borderId="78" xfId="3" applyFont="1" applyFill="1" applyBorder="1" applyAlignment="1">
      <alignment horizontal="center" vertical="center"/>
    </xf>
    <xf numFmtId="0" fontId="5" fillId="13" borderId="79" xfId="3" applyFont="1" applyFill="1" applyBorder="1" applyAlignment="1">
      <alignment horizontal="center" vertical="center"/>
    </xf>
    <xf numFmtId="167" fontId="5" fillId="13" borderId="80" xfId="1" applyNumberFormat="1" applyFont="1" applyFill="1" applyBorder="1" applyAlignment="1">
      <alignment horizontal="center" vertical="center"/>
    </xf>
    <xf numFmtId="9" fontId="2" fillId="3" borderId="79" xfId="3" applyNumberFormat="1" applyFont="1" applyFill="1" applyBorder="1" applyAlignment="1">
      <alignment horizontal="center" vertical="center"/>
    </xf>
    <xf numFmtId="171" fontId="2" fillId="0" borderId="81" xfId="3" applyNumberFormat="1" applyFont="1" applyBorder="1" applyAlignment="1">
      <alignment horizontal="center" vertical="center"/>
    </xf>
    <xf numFmtId="171" fontId="2" fillId="6" borderId="81" xfId="3" applyNumberFormat="1" applyFont="1" applyFill="1" applyBorder="1" applyAlignment="1">
      <alignment horizontal="center" vertical="center"/>
    </xf>
    <xf numFmtId="9" fontId="5" fillId="18" borderId="79" xfId="3" applyNumberFormat="1" applyFont="1" applyFill="1" applyBorder="1" applyAlignment="1">
      <alignment horizontal="center" vertical="center"/>
    </xf>
    <xf numFmtId="171" fontId="5" fillId="18" borderId="81" xfId="3" applyNumberFormat="1" applyFont="1" applyFill="1" applyBorder="1" applyAlignment="1">
      <alignment horizontal="center" vertical="center"/>
    </xf>
    <xf numFmtId="9" fontId="2" fillId="3" borderId="82" xfId="3" applyNumberFormat="1" applyFont="1" applyFill="1" applyBorder="1" applyAlignment="1">
      <alignment horizontal="center" vertical="center"/>
    </xf>
    <xf numFmtId="171" fontId="2" fillId="6" borderId="83" xfId="3" applyNumberFormat="1" applyFont="1" applyFill="1" applyBorder="1" applyAlignment="1">
      <alignment horizontal="center" vertical="center"/>
    </xf>
    <xf numFmtId="0" fontId="17" fillId="20" borderId="77" xfId="3" applyFont="1" applyFill="1" applyBorder="1" applyAlignment="1">
      <alignment horizontal="center" vertical="center" wrapText="1"/>
    </xf>
    <xf numFmtId="0" fontId="17" fillId="20" borderId="84" xfId="3" applyFont="1" applyFill="1" applyBorder="1" applyAlignment="1">
      <alignment horizontal="center" vertical="center"/>
    </xf>
    <xf numFmtId="171" fontId="5" fillId="13" borderId="81" xfId="3" applyNumberFormat="1" applyFont="1" applyFill="1" applyBorder="1" applyAlignment="1">
      <alignment horizontal="center" vertical="center"/>
    </xf>
    <xf numFmtId="171" fontId="2" fillId="3" borderId="79" xfId="3" applyNumberFormat="1" applyFont="1" applyFill="1" applyBorder="1" applyAlignment="1">
      <alignment horizontal="right" vertical="center"/>
    </xf>
    <xf numFmtId="171" fontId="2" fillId="6" borderId="81" xfId="3" applyNumberFormat="1" applyFont="1" applyFill="1" applyBorder="1" applyAlignment="1">
      <alignment horizontal="right" vertical="center"/>
    </xf>
    <xf numFmtId="171" fontId="5" fillId="18" borderId="79" xfId="3" applyNumberFormat="1" applyFont="1" applyFill="1" applyBorder="1" applyAlignment="1">
      <alignment horizontal="right" vertical="center"/>
    </xf>
    <xf numFmtId="171" fontId="5" fillId="18" borderId="81" xfId="3" applyNumberFormat="1" applyFont="1" applyFill="1" applyBorder="1" applyAlignment="1">
      <alignment horizontal="right" vertical="center"/>
    </xf>
    <xf numFmtId="171" fontId="2" fillId="3" borderId="82" xfId="3" applyNumberFormat="1" applyFont="1" applyFill="1" applyBorder="1" applyAlignment="1">
      <alignment horizontal="right" vertical="center"/>
    </xf>
    <xf numFmtId="171" fontId="2" fillId="6" borderId="83" xfId="3" applyNumberFormat="1" applyFont="1" applyFill="1" applyBorder="1" applyAlignment="1">
      <alignment horizontal="right" vertical="center"/>
    </xf>
    <xf numFmtId="0" fontId="17" fillId="20" borderId="85" xfId="3" applyFont="1" applyFill="1" applyBorder="1" applyAlignment="1">
      <alignment horizontal="center" vertical="center" wrapText="1"/>
    </xf>
    <xf numFmtId="171" fontId="5" fillId="13" borderId="86" xfId="3" applyNumberFormat="1" applyFont="1" applyFill="1" applyBorder="1" applyAlignment="1">
      <alignment horizontal="center" vertical="center"/>
    </xf>
    <xf numFmtId="171" fontId="2" fillId="3" borderId="87" xfId="3" applyNumberFormat="1" applyFont="1" applyFill="1" applyBorder="1"/>
    <xf numFmtId="171" fontId="5" fillId="18" borderId="87" xfId="3" applyNumberFormat="1" applyFont="1" applyFill="1" applyBorder="1"/>
    <xf numFmtId="171" fontId="2" fillId="3" borderId="88" xfId="3" applyNumberFormat="1" applyFont="1" applyFill="1" applyBorder="1"/>
    <xf numFmtId="0" fontId="17" fillId="12" borderId="28" xfId="3" applyFont="1" applyFill="1" applyBorder="1" applyAlignment="1">
      <alignment horizontal="center" vertical="center"/>
    </xf>
    <xf numFmtId="0" fontId="17" fillId="12" borderId="89" xfId="3" applyFont="1" applyFill="1" applyBorder="1" applyAlignment="1">
      <alignment horizontal="center" vertical="center"/>
    </xf>
    <xf numFmtId="0" fontId="17" fillId="12" borderId="29" xfId="3" applyFont="1" applyFill="1" applyBorder="1" applyAlignment="1">
      <alignment horizontal="center" vertical="center"/>
    </xf>
    <xf numFmtId="167" fontId="2" fillId="18" borderId="90" xfId="1" applyNumberFormat="1" applyFont="1" applyFill="1" applyBorder="1" applyAlignment="1"/>
    <xf numFmtId="171" fontId="2" fillId="6" borderId="11" xfId="3" applyNumberFormat="1" applyFont="1" applyFill="1" applyBorder="1" applyAlignment="1">
      <alignment horizontal="center" vertical="center"/>
    </xf>
    <xf numFmtId="171" fontId="2" fillId="6" borderId="31" xfId="3" applyNumberFormat="1" applyFont="1" applyFill="1" applyBorder="1" applyAlignment="1">
      <alignment horizontal="center" vertical="center"/>
    </xf>
    <xf numFmtId="171" fontId="5" fillId="23" borderId="90" xfId="3" applyNumberFormat="1" applyFont="1" applyFill="1" applyBorder="1" applyAlignment="1">
      <alignment horizontal="left" vertical="top"/>
    </xf>
    <xf numFmtId="171" fontId="5" fillId="23" borderId="11" xfId="3" applyNumberFormat="1" applyFont="1" applyFill="1" applyBorder="1" applyAlignment="1">
      <alignment horizontal="center" vertical="center"/>
    </xf>
    <xf numFmtId="171" fontId="5" fillId="23" borderId="31" xfId="3" applyNumberFormat="1" applyFont="1" applyFill="1" applyBorder="1" applyAlignment="1">
      <alignment horizontal="center" vertical="center"/>
    </xf>
    <xf numFmtId="167" fontId="5" fillId="5" borderId="91" xfId="1" applyNumberFormat="1" applyFont="1" applyFill="1" applyBorder="1" applyAlignment="1"/>
    <xf numFmtId="172" fontId="11" fillId="5" borderId="32" xfId="6" applyNumberFormat="1" applyFont="1" applyFill="1" applyBorder="1"/>
    <xf numFmtId="172" fontId="11" fillId="5" borderId="25" xfId="6" applyNumberFormat="1" applyFont="1" applyFill="1" applyBorder="1"/>
    <xf numFmtId="0" fontId="4" fillId="0" borderId="0" xfId="0" applyFont="1" applyAlignment="1">
      <alignment horizontal="center" vertical="center"/>
    </xf>
    <xf numFmtId="0" fontId="14" fillId="11" borderId="0" xfId="0" applyFont="1" applyFill="1" applyBorder="1" applyAlignment="1">
      <alignment horizontal="center"/>
    </xf>
    <xf numFmtId="0" fontId="0" fillId="0" borderId="0" xfId="0" applyBorder="1" applyAlignment="1">
      <alignment horizontal="justify" vertical="distributed" wrapText="1"/>
    </xf>
    <xf numFmtId="0" fontId="6" fillId="0" borderId="0" xfId="0" applyFont="1" applyAlignment="1">
      <alignment horizontal="center" vertical="center" wrapText="1"/>
    </xf>
    <xf numFmtId="0" fontId="17" fillId="12" borderId="0" xfId="0" applyFont="1" applyFill="1" applyBorder="1" applyAlignment="1">
      <alignment horizontal="center" wrapText="1"/>
    </xf>
    <xf numFmtId="0" fontId="16" fillId="12" borderId="0" xfId="0" applyFont="1" applyFill="1" applyAlignment="1">
      <alignment horizontal="center" wrapText="1"/>
    </xf>
    <xf numFmtId="0" fontId="17" fillId="16" borderId="16" xfId="0" applyFont="1" applyFill="1" applyBorder="1" applyAlignment="1">
      <alignment horizontal="center" vertical="center"/>
    </xf>
    <xf numFmtId="0" fontId="17" fillId="16" borderId="14" xfId="0" applyFont="1" applyFill="1" applyBorder="1" applyAlignment="1">
      <alignment horizontal="center" vertical="center"/>
    </xf>
    <xf numFmtId="0" fontId="17" fillId="16" borderId="19" xfId="0" applyFont="1" applyFill="1" applyBorder="1" applyAlignment="1">
      <alignment horizontal="center" vertical="center"/>
    </xf>
    <xf numFmtId="0" fontId="3" fillId="0" borderId="0" xfId="0" applyFont="1" applyAlignment="1">
      <alignment horizontal="center" wrapText="1"/>
    </xf>
    <xf numFmtId="0" fontId="17" fillId="16" borderId="39" xfId="0" applyFont="1" applyFill="1" applyBorder="1" applyAlignment="1">
      <alignment horizontal="center" vertical="center"/>
    </xf>
    <xf numFmtId="0" fontId="17" fillId="16" borderId="36" xfId="0" applyFont="1" applyFill="1" applyBorder="1" applyAlignment="1">
      <alignment horizontal="center" vertical="center"/>
    </xf>
    <xf numFmtId="0" fontId="17" fillId="16" borderId="42" xfId="0" applyFont="1" applyFill="1" applyBorder="1" applyAlignment="1">
      <alignment horizontal="center" vertical="center"/>
    </xf>
    <xf numFmtId="0" fontId="17" fillId="16" borderId="0" xfId="0" applyFont="1" applyFill="1" applyBorder="1" applyAlignment="1">
      <alignment horizontal="center" vertical="center"/>
    </xf>
    <xf numFmtId="0" fontId="19" fillId="0" borderId="0" xfId="0" applyFont="1" applyAlignment="1">
      <alignment horizontal="center" vertical="center" wrapText="1"/>
    </xf>
    <xf numFmtId="0" fontId="10" fillId="18" borderId="45" xfId="0" applyFont="1" applyFill="1" applyBorder="1" applyAlignment="1">
      <alignment horizontal="center" vertical="center" wrapText="1"/>
    </xf>
    <xf numFmtId="0" fontId="10" fillId="18" borderId="35" xfId="0" applyFont="1" applyFill="1" applyBorder="1" applyAlignment="1">
      <alignment horizontal="center" vertical="center" wrapText="1"/>
    </xf>
    <xf numFmtId="0" fontId="20" fillId="12" borderId="0" xfId="0" applyFont="1" applyFill="1" applyAlignment="1">
      <alignment horizontal="center" vertical="center" wrapText="1"/>
    </xf>
    <xf numFmtId="172" fontId="9" fillId="21" borderId="56" xfId="6" applyNumberFormat="1" applyFont="1" applyFill="1" applyBorder="1" applyAlignment="1">
      <alignment horizontal="right" vertical="center"/>
    </xf>
    <xf numFmtId="172" fontId="9" fillId="21" borderId="57" xfId="6" applyNumberFormat="1" applyFont="1" applyFill="1" applyBorder="1" applyAlignment="1">
      <alignment horizontal="right" vertical="center"/>
    </xf>
    <xf numFmtId="9" fontId="9" fillId="21" borderId="59" xfId="0" applyNumberFormat="1" applyFont="1" applyFill="1" applyBorder="1" applyAlignment="1">
      <alignment horizontal="right" vertical="center"/>
    </xf>
    <xf numFmtId="9" fontId="9" fillId="21" borderId="60" xfId="0" applyNumberFormat="1" applyFont="1" applyFill="1" applyBorder="1" applyAlignment="1">
      <alignment horizontal="right" vertical="center"/>
    </xf>
    <xf numFmtId="9" fontId="9" fillId="21" borderId="56" xfId="0" applyNumberFormat="1" applyFont="1" applyFill="1" applyBorder="1" applyAlignment="1">
      <alignment horizontal="right" vertical="center"/>
    </xf>
    <xf numFmtId="9" fontId="9" fillId="21" borderId="57" xfId="0" applyNumberFormat="1" applyFont="1" applyFill="1" applyBorder="1" applyAlignment="1">
      <alignment horizontal="right" vertical="center"/>
    </xf>
    <xf numFmtId="10" fontId="9" fillId="21" borderId="56" xfId="0" applyNumberFormat="1" applyFont="1" applyFill="1" applyBorder="1" applyAlignment="1">
      <alignment horizontal="right" vertical="center"/>
    </xf>
    <xf numFmtId="10" fontId="9" fillId="21" borderId="57" xfId="0" applyNumberFormat="1" applyFont="1" applyFill="1" applyBorder="1" applyAlignment="1">
      <alignment horizontal="right" vertical="center"/>
    </xf>
    <xf numFmtId="0" fontId="27" fillId="0" borderId="0" xfId="3" applyFont="1" applyAlignment="1">
      <alignment horizontal="center" wrapText="1"/>
    </xf>
    <xf numFmtId="0" fontId="5" fillId="0" borderId="0" xfId="0" applyFont="1" applyFill="1" applyBorder="1" applyAlignment="1">
      <alignment horizontal="center" vertical="center"/>
    </xf>
    <xf numFmtId="0" fontId="5" fillId="0" borderId="0" xfId="0" applyFont="1" applyBorder="1" applyAlignment="1">
      <alignment horizontal="center" wrapText="1"/>
    </xf>
    <xf numFmtId="0" fontId="4" fillId="0" borderId="0" xfId="0" applyFont="1" applyBorder="1" applyAlignment="1">
      <alignment horizontal="center"/>
    </xf>
    <xf numFmtId="0" fontId="0" fillId="0" borderId="0" xfId="0" applyAlignment="1">
      <alignment horizontal="center" vertical="center" wrapText="1"/>
    </xf>
    <xf numFmtId="0" fontId="2" fillId="0" borderId="0" xfId="3" applyFont="1" applyAlignment="1">
      <alignment horizontal="center" wrapText="1"/>
    </xf>
    <xf numFmtId="0" fontId="10" fillId="7" borderId="0" xfId="0" applyFont="1" applyFill="1" applyAlignment="1">
      <alignment horizontal="center" vertical="center" wrapText="1"/>
    </xf>
    <xf numFmtId="9" fontId="9" fillId="7" borderId="0" xfId="0" applyNumberFormat="1" applyFont="1" applyFill="1" applyBorder="1" applyAlignment="1">
      <alignment horizontal="right" vertical="center"/>
    </xf>
    <xf numFmtId="10" fontId="9" fillId="7" borderId="0" xfId="0" applyNumberFormat="1" applyFont="1" applyFill="1" applyBorder="1" applyAlignment="1">
      <alignment horizontal="right" vertical="center"/>
    </xf>
    <xf numFmtId="172" fontId="9" fillId="7" borderId="0" xfId="6" applyNumberFormat="1" applyFont="1" applyFill="1" applyAlignment="1">
      <alignment horizontal="right" vertical="center"/>
    </xf>
    <xf numFmtId="9" fontId="9" fillId="7" borderId="0" xfId="0" applyNumberFormat="1" applyFont="1" applyFill="1" applyAlignment="1">
      <alignment horizontal="right" vertical="center"/>
    </xf>
    <xf numFmtId="0" fontId="10" fillId="8" borderId="0" xfId="0" applyFont="1" applyFill="1" applyAlignment="1">
      <alignment horizontal="center" vertical="center" wrapText="1"/>
    </xf>
  </cellXfs>
  <cellStyles count="7">
    <cellStyle name="Comma" xfId="1" builtinId="3"/>
    <cellStyle name="Currency" xfId="6" builtinId="4"/>
    <cellStyle name="Currency 2" xfId="5" xr:uid="{A2D7E8E6-3B25-477E-AC7E-539A32CD8925}"/>
    <cellStyle name="Normal" xfId="0" builtinId="0"/>
    <cellStyle name="Normal 2" xfId="3" xr:uid="{A3A7242A-8077-4D27-BCF8-04FF7A3A4AD8}"/>
    <cellStyle name="Percent" xfId="2" builtinId="5"/>
    <cellStyle name="Percent 2" xfId="4" xr:uid="{EEC320EC-4EA7-465E-B437-6F7017494C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6</xdr:col>
      <xdr:colOff>661517</xdr:colOff>
      <xdr:row>90</xdr:row>
      <xdr:rowOff>66989</xdr:rowOff>
    </xdr:from>
    <xdr:to>
      <xdr:col>10</xdr:col>
      <xdr:colOff>787121</xdr:colOff>
      <xdr:row>99</xdr:row>
      <xdr:rowOff>83736</xdr:rowOff>
    </xdr:to>
    <xdr:sp macro="" textlink="">
      <xdr:nvSpPr>
        <xdr:cNvPr id="2" name="TextBox 1">
          <a:extLst>
            <a:ext uri="{FF2B5EF4-FFF2-40B4-BE49-F238E27FC236}">
              <a16:creationId xmlns:a16="http://schemas.microsoft.com/office/drawing/2014/main" id="{E8786170-21B3-429E-BD4F-9BD0EFE8DF33}"/>
            </a:ext>
          </a:extLst>
        </xdr:cNvPr>
        <xdr:cNvSpPr txBox="1"/>
      </xdr:nvSpPr>
      <xdr:spPr>
        <a:xfrm>
          <a:off x="8474110" y="18924396"/>
          <a:ext cx="4664110" cy="1825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200"/>
            <a:t>The </a:t>
          </a:r>
          <a:r>
            <a:rPr lang="en-CA" sz="1200" b="1"/>
            <a:t>Replacement Market (RM)</a:t>
          </a:r>
          <a:r>
            <a:rPr lang="en-CA" sz="1200"/>
            <a:t> is the most critical driver of this project because its 16-million-tire scale and $59 price point generate significantly higher gross profits than the OEM segment, with a Year 1 profit gap of </a:t>
          </a:r>
          <a:r>
            <a:rPr lang="en-CA" sz="1200" b="1"/>
            <a:t>$36.6 million</a:t>
          </a:r>
          <a:r>
            <a:rPr lang="en-CA" sz="1200"/>
            <a:t>. Financial viability is highly sensitive to this market, as a mere </a:t>
          </a:r>
          <a:r>
            <a:rPr lang="en-CA" sz="1200" b="1"/>
            <a:t>1% increase</a:t>
          </a:r>
          <a:r>
            <a:rPr lang="en-CA" sz="1200"/>
            <a:t> in RM share boosts NPV by </a:t>
          </a:r>
          <a:r>
            <a:rPr lang="en-CA" sz="1200" b="1"/>
            <a:t>$15.3 million</a:t>
          </a:r>
          <a:r>
            <a:rPr lang="en-CA" sz="1200"/>
            <a:t>, while a drop below </a:t>
          </a:r>
          <a:r>
            <a:rPr lang="en-CA" sz="1200" b="1"/>
            <a:t>7% share</a:t>
          </a:r>
          <a:r>
            <a:rPr lang="en-CA" sz="1200"/>
            <a:t> renders the entire project unviable. Ultimately, the RM's superior margins and volume mean that small fluctuations in its performance impact shareholder wealth far more than any changes in the OEM market.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2323AD0-A5AA-4C50-BE2B-5218B29D294E}">
  <we:reference id="wa200008399" version="1.0.0.4" store="en-US" storeType="OMEX"/>
  <we:alternateReferences>
    <we:reference id="wa200008399" version="1.0.0.4" store="WA200008399" storeType="OMEX"/>
  </we:alternateReferences>
  <we:properties>
    <we:property name="ProjectMetadata" value="&quot;{\&quot;projectId\&quot;:4681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EED18-A652-4EE2-BBDE-5D589FF55D17}">
  <dimension ref="A1:S72"/>
  <sheetViews>
    <sheetView showGridLines="0" tabSelected="1" zoomScale="91" zoomScaleNormal="100" workbookViewId="0">
      <selection activeCell="D7" sqref="D7"/>
    </sheetView>
  </sheetViews>
  <sheetFormatPr defaultColWidth="8.796875" defaultRowHeight="15.6"/>
  <cols>
    <col min="1" max="1" width="11.19921875" style="3" bestFit="1" customWidth="1"/>
    <col min="2" max="2" width="26.296875" style="3" bestFit="1" customWidth="1"/>
    <col min="3" max="3" width="17.796875" style="3" customWidth="1"/>
    <col min="4" max="4" width="15.19921875" style="3" bestFit="1" customWidth="1"/>
    <col min="5" max="6" width="14.09765625" style="3" bestFit="1" customWidth="1"/>
    <col min="7" max="7" width="8.796875" style="3"/>
    <col min="8" max="8" width="21.296875" style="3" bestFit="1" customWidth="1"/>
    <col min="9" max="10" width="14.69921875" style="3" bestFit="1" customWidth="1"/>
    <col min="11" max="12" width="14.796875" style="3" bestFit="1" customWidth="1"/>
    <col min="13" max="13" width="13.796875" style="3" bestFit="1" customWidth="1"/>
    <col min="14" max="14" width="13.69921875" style="3" bestFit="1" customWidth="1"/>
    <col min="15" max="15" width="12.3984375" style="3" bestFit="1" customWidth="1"/>
    <col min="16" max="16384" width="8.796875" style="3"/>
  </cols>
  <sheetData>
    <row r="1" spans="1:14" ht="17.399999999999999">
      <c r="B1" s="362" t="s">
        <v>134</v>
      </c>
      <c r="C1" s="362"/>
    </row>
    <row r="2" spans="1:14" ht="17.399999999999999">
      <c r="B2" s="362"/>
      <c r="C2" s="362"/>
    </row>
    <row r="3" spans="1:14" ht="17.399999999999999">
      <c r="B3" s="363" t="s">
        <v>119</v>
      </c>
      <c r="C3" s="363"/>
      <c r="D3" s="363"/>
      <c r="E3" s="154"/>
      <c r="F3" s="154"/>
      <c r="G3" s="154"/>
      <c r="H3" s="154"/>
      <c r="I3" s="154"/>
      <c r="J3" s="154"/>
      <c r="K3" s="154"/>
      <c r="L3" s="154"/>
      <c r="M3" s="154"/>
      <c r="N3" s="154"/>
    </row>
    <row r="4" spans="1:14" ht="18" thickBot="1">
      <c r="B4" t="s">
        <v>5</v>
      </c>
      <c r="C4" s="11"/>
      <c r="D4" s="10"/>
    </row>
    <row r="5" spans="1:14" ht="17.399999999999999">
      <c r="B5" s="175" t="s">
        <v>80</v>
      </c>
      <c r="C5" s="176"/>
      <c r="D5" s="10"/>
    </row>
    <row r="6" spans="1:14">
      <c r="B6" s="178" t="s">
        <v>4</v>
      </c>
      <c r="C6" s="179">
        <v>10000000</v>
      </c>
    </row>
    <row r="7" spans="1:14" ht="16.2" thickBot="1">
      <c r="B7" s="180" t="s">
        <v>6</v>
      </c>
      <c r="C7" s="181">
        <v>5000000</v>
      </c>
    </row>
    <row r="8" spans="1:14" ht="16.2" thickBot="1">
      <c r="A8" s="155" t="s">
        <v>47</v>
      </c>
      <c r="H8" s="155" t="s">
        <v>48</v>
      </c>
    </row>
    <row r="9" spans="1:14">
      <c r="A9" s="29"/>
      <c r="B9" s="2"/>
      <c r="C9" s="157" t="s">
        <v>0</v>
      </c>
      <c r="H9" s="368" t="s">
        <v>43</v>
      </c>
      <c r="I9" s="369"/>
      <c r="J9" s="369"/>
      <c r="K9" s="369"/>
      <c r="L9" s="370"/>
    </row>
    <row r="10" spans="1:14" ht="33" customHeight="1">
      <c r="A10" s="366" t="s">
        <v>16</v>
      </c>
      <c r="B10" s="366"/>
      <c r="C10" s="156" t="s">
        <v>8</v>
      </c>
      <c r="D10" s="156" t="s">
        <v>9</v>
      </c>
      <c r="E10" s="156" t="s">
        <v>10</v>
      </c>
      <c r="F10" s="156" t="s">
        <v>11</v>
      </c>
      <c r="H10" s="183"/>
      <c r="I10" s="190" t="s">
        <v>8</v>
      </c>
      <c r="J10" s="190" t="s">
        <v>9</v>
      </c>
      <c r="K10" s="190" t="s">
        <v>10</v>
      </c>
      <c r="L10" s="191" t="s">
        <v>11</v>
      </c>
    </row>
    <row r="11" spans="1:14">
      <c r="B11" s="159" t="s">
        <v>24</v>
      </c>
      <c r="C11" s="4">
        <v>2000000</v>
      </c>
      <c r="D11" s="14">
        <f>C11*(1+$C$12)</f>
        <v>2049999.9999999998</v>
      </c>
      <c r="E11" s="14">
        <f>D11*(1+$C$12)</f>
        <v>2101249.9999999995</v>
      </c>
      <c r="F11" s="14">
        <f>E11*(1+$C$12)</f>
        <v>2153781.2499999995</v>
      </c>
      <c r="H11" s="184" t="s">
        <v>40</v>
      </c>
      <c r="I11" s="6">
        <f>C16*C17</f>
        <v>31680000</v>
      </c>
      <c r="J11" s="6">
        <f t="shared" ref="J11:L11" si="0">D16*D17</f>
        <v>33852060</v>
      </c>
      <c r="K11" s="6">
        <f t="shared" si="0"/>
        <v>36173041.863749988</v>
      </c>
      <c r="L11" s="188">
        <f t="shared" si="0"/>
        <v>38653156.046533346</v>
      </c>
    </row>
    <row r="12" spans="1:14">
      <c r="B12" s="159" t="s">
        <v>12</v>
      </c>
      <c r="C12" s="12">
        <v>2.5000000000000001E-2</v>
      </c>
      <c r="D12" s="2"/>
      <c r="E12" s="2"/>
      <c r="F12" s="2"/>
      <c r="H12" s="184" t="s">
        <v>41</v>
      </c>
      <c r="I12" s="6">
        <f>C25*C26</f>
        <v>75520000</v>
      </c>
      <c r="J12" s="6">
        <f t="shared" ref="J12:L12" si="1">D25*D26</f>
        <v>80304192</v>
      </c>
      <c r="K12" s="6">
        <f t="shared" si="1"/>
        <v>85391462.563199997</v>
      </c>
      <c r="L12" s="188">
        <f t="shared" si="1"/>
        <v>90801011.716578707</v>
      </c>
    </row>
    <row r="13" spans="1:14">
      <c r="B13" s="160" t="s">
        <v>13</v>
      </c>
      <c r="C13" s="1">
        <v>0.11</v>
      </c>
      <c r="D13" s="2"/>
      <c r="E13" s="2"/>
      <c r="F13" s="2"/>
      <c r="H13" s="185" t="s">
        <v>42</v>
      </c>
      <c r="I13" s="158">
        <f>SUM(I11:I12)</f>
        <v>107200000</v>
      </c>
      <c r="J13" s="158">
        <f t="shared" ref="J13:L13" si="2">SUM(J11:J12)</f>
        <v>114156252</v>
      </c>
      <c r="K13" s="158">
        <f t="shared" si="2"/>
        <v>121564504.42694998</v>
      </c>
      <c r="L13" s="177">
        <f t="shared" si="2"/>
        <v>129454167.76311205</v>
      </c>
    </row>
    <row r="14" spans="1:14">
      <c r="B14" s="160" t="s">
        <v>25</v>
      </c>
      <c r="C14" s="14">
        <f>C11*$C$13</f>
        <v>220000</v>
      </c>
      <c r="D14" s="14">
        <f>D11*$C$13</f>
        <v>225499.99999999997</v>
      </c>
      <c r="E14" s="14">
        <f>E11*$C$13</f>
        <v>231137.49999999994</v>
      </c>
      <c r="F14" s="14">
        <f>F11*$C$13</f>
        <v>236915.93749999994</v>
      </c>
      <c r="H14" s="184" t="s">
        <v>44</v>
      </c>
      <c r="I14" s="6">
        <f>C16*C18</f>
        <v>15840000</v>
      </c>
      <c r="J14" s="6">
        <f t="shared" ref="J14:L14" si="3">D16*D18</f>
        <v>16926030</v>
      </c>
      <c r="K14" s="6">
        <f t="shared" si="3"/>
        <v>18086520.931874994</v>
      </c>
      <c r="L14" s="188">
        <f t="shared" si="3"/>
        <v>19326578.023266673</v>
      </c>
    </row>
    <row r="15" spans="1:14">
      <c r="B15" s="159" t="s">
        <v>26</v>
      </c>
      <c r="C15" s="4">
        <v>4</v>
      </c>
      <c r="D15" s="22"/>
      <c r="E15" s="22"/>
      <c r="F15" s="22"/>
      <c r="H15" s="184" t="s">
        <v>45</v>
      </c>
      <c r="I15" s="6">
        <f>C25*C27</f>
        <v>23040000</v>
      </c>
      <c r="J15" s="6">
        <f t="shared" ref="J15:L15" si="4">D25*D27</f>
        <v>24499584</v>
      </c>
      <c r="K15" s="6">
        <f t="shared" si="4"/>
        <v>26051632.646400001</v>
      </c>
      <c r="L15" s="188">
        <f t="shared" si="4"/>
        <v>27702003.57454944</v>
      </c>
    </row>
    <row r="16" spans="1:14">
      <c r="B16" s="161" t="s">
        <v>27</v>
      </c>
      <c r="C16" s="163">
        <f>C14*$C$15</f>
        <v>880000</v>
      </c>
      <c r="D16" s="163">
        <f t="shared" ref="D16:F16" si="5">D14*$C$15</f>
        <v>901999.99999999988</v>
      </c>
      <c r="E16" s="163">
        <f t="shared" si="5"/>
        <v>924549.99999999977</v>
      </c>
      <c r="F16" s="163">
        <f t="shared" si="5"/>
        <v>947663.74999999977</v>
      </c>
      <c r="H16" s="186" t="s">
        <v>46</v>
      </c>
      <c r="I16" s="158">
        <f>SUM(I14:I15)</f>
        <v>38880000</v>
      </c>
      <c r="J16" s="158">
        <f t="shared" ref="J16:L16" si="6">SUM(J14:J15)</f>
        <v>41425614</v>
      </c>
      <c r="K16" s="158">
        <f t="shared" si="6"/>
        <v>44138153.578274995</v>
      </c>
      <c r="L16" s="177">
        <f t="shared" si="6"/>
        <v>47028581.59781611</v>
      </c>
    </row>
    <row r="17" spans="1:18">
      <c r="B17" s="160" t="s">
        <v>22</v>
      </c>
      <c r="C17" s="6">
        <v>36</v>
      </c>
      <c r="D17" s="15">
        <f>C17*(1+$C$19)</f>
        <v>37.53</v>
      </c>
      <c r="E17" s="15">
        <f t="shared" ref="E17:F17" si="7">D17*(1+$C$19)</f>
        <v>39.125025000000001</v>
      </c>
      <c r="F17" s="15">
        <f t="shared" si="7"/>
        <v>40.787838562499999</v>
      </c>
      <c r="H17" s="184" t="s">
        <v>34</v>
      </c>
      <c r="I17" s="6">
        <f>C31</f>
        <v>25000000</v>
      </c>
      <c r="J17" s="6">
        <f t="shared" ref="J17:L17" si="8">D31</f>
        <v>25812500</v>
      </c>
      <c r="K17" s="6">
        <f t="shared" si="8"/>
        <v>26651406.25</v>
      </c>
      <c r="L17" s="188">
        <f t="shared" si="8"/>
        <v>27517576.953125</v>
      </c>
    </row>
    <row r="18" spans="1:18">
      <c r="B18" s="160" t="s">
        <v>23</v>
      </c>
      <c r="C18" s="6">
        <v>18</v>
      </c>
      <c r="D18" s="15">
        <f t="shared" ref="D18:E18" si="9">C18*(1+$C$19)</f>
        <v>18.765000000000001</v>
      </c>
      <c r="E18" s="15">
        <f t="shared" si="9"/>
        <v>19.5625125</v>
      </c>
      <c r="F18" s="15">
        <f>E18*(1+$C$19)</f>
        <v>20.39391928125</v>
      </c>
      <c r="H18" s="184" t="s">
        <v>35</v>
      </c>
      <c r="I18" s="6">
        <f>C35</f>
        <v>17148000</v>
      </c>
      <c r="J18" s="6">
        <f t="shared" ref="J18:L18" si="10">D35</f>
        <v>29388000</v>
      </c>
      <c r="K18" s="6">
        <f t="shared" si="10"/>
        <v>20988000</v>
      </c>
      <c r="L18" s="188">
        <f t="shared" si="10"/>
        <v>14988000</v>
      </c>
    </row>
    <row r="19" spans="1:18">
      <c r="B19" s="162" t="s">
        <v>20</v>
      </c>
      <c r="C19" s="21">
        <f>C44</f>
        <v>4.2500000000000003E-2</v>
      </c>
      <c r="D19" s="2"/>
      <c r="E19" s="2"/>
      <c r="F19" s="2"/>
      <c r="H19" s="184" t="s">
        <v>36</v>
      </c>
      <c r="I19" s="6">
        <f>I13-I16-I17-I18</f>
        <v>26172000</v>
      </c>
      <c r="J19" s="6">
        <f t="shared" ref="J19:L19" si="11">J13-J16-J17-J18</f>
        <v>17530138</v>
      </c>
      <c r="K19" s="6">
        <f t="shared" si="11"/>
        <v>29786944.598674983</v>
      </c>
      <c r="L19" s="188">
        <f t="shared" si="11"/>
        <v>39920009.212170944</v>
      </c>
    </row>
    <row r="20" spans="1:18">
      <c r="D20" s="2"/>
      <c r="E20" s="2"/>
      <c r="F20" s="2"/>
      <c r="H20" s="184" t="s">
        <v>39</v>
      </c>
      <c r="I20" s="6">
        <f>I19*$C$41</f>
        <v>5496120</v>
      </c>
      <c r="J20" s="6">
        <f t="shared" ref="J20:K20" si="12">J19*$C$41</f>
        <v>3681328.98</v>
      </c>
      <c r="K20" s="6">
        <f t="shared" si="12"/>
        <v>6255258.3657217463</v>
      </c>
      <c r="L20" s="188">
        <f>L19*$C$41</f>
        <v>8383201.9345558975</v>
      </c>
    </row>
    <row r="21" spans="1:18" ht="21.6" customHeight="1">
      <c r="A21" s="367" t="s">
        <v>18</v>
      </c>
      <c r="B21" s="367"/>
      <c r="C21" s="156" t="s">
        <v>8</v>
      </c>
      <c r="D21" s="156" t="s">
        <v>9</v>
      </c>
      <c r="E21" s="156" t="s">
        <v>10</v>
      </c>
      <c r="F21" s="156" t="s">
        <v>11</v>
      </c>
      <c r="H21" s="184" t="s">
        <v>37</v>
      </c>
      <c r="I21" s="6">
        <f>I19-I20</f>
        <v>20675880</v>
      </c>
      <c r="J21" s="6">
        <f t="shared" ref="J21:L21" si="13">J19-J20</f>
        <v>13848809.02</v>
      </c>
      <c r="K21" s="6">
        <f t="shared" si="13"/>
        <v>23531686.232953236</v>
      </c>
      <c r="L21" s="188">
        <f t="shared" si="13"/>
        <v>31536807.277615048</v>
      </c>
    </row>
    <row r="22" spans="1:18">
      <c r="B22" s="159" t="s">
        <v>17</v>
      </c>
      <c r="C22" s="4">
        <v>16000000</v>
      </c>
      <c r="D22" s="14">
        <f>C22*(1+$C$23)</f>
        <v>16320000</v>
      </c>
      <c r="E22" s="14">
        <f t="shared" ref="E22:F22" si="14">D22*(1+$C$23)</f>
        <v>16646400</v>
      </c>
      <c r="F22" s="14">
        <f t="shared" si="14"/>
        <v>16979328</v>
      </c>
      <c r="H22" s="183"/>
      <c r="I22" s="192"/>
      <c r="J22" s="192"/>
      <c r="K22" s="192"/>
      <c r="L22" s="193"/>
    </row>
    <row r="23" spans="1:18" ht="16.2" thickBot="1">
      <c r="B23" s="159" t="s">
        <v>12</v>
      </c>
      <c r="C23" s="12">
        <v>0.02</v>
      </c>
      <c r="D23" s="2"/>
      <c r="E23" s="2"/>
      <c r="F23" s="2"/>
      <c r="H23" s="187" t="s">
        <v>38</v>
      </c>
      <c r="I23" s="182">
        <f>I21+I18</f>
        <v>37823880</v>
      </c>
      <c r="J23" s="182">
        <f t="shared" ref="J23:L23" si="15">J21+J18</f>
        <v>43236809.019999996</v>
      </c>
      <c r="K23" s="182">
        <f t="shared" si="15"/>
        <v>44519686.232953236</v>
      </c>
      <c r="L23" s="189">
        <f t="shared" si="15"/>
        <v>46524807.277615048</v>
      </c>
    </row>
    <row r="24" spans="1:18">
      <c r="B24" s="160" t="s">
        <v>13</v>
      </c>
      <c r="C24" s="1">
        <v>0.08</v>
      </c>
      <c r="D24" s="2"/>
      <c r="E24" s="2"/>
      <c r="F24" s="2"/>
    </row>
    <row r="25" spans="1:18">
      <c r="B25" s="161" t="s">
        <v>27</v>
      </c>
      <c r="C25" s="164">
        <f>C22*$C$24</f>
        <v>1280000</v>
      </c>
      <c r="D25" s="164">
        <f t="shared" ref="D25:F25" si="16">D22*$C$24</f>
        <v>1305600</v>
      </c>
      <c r="E25" s="164">
        <f t="shared" si="16"/>
        <v>1331712</v>
      </c>
      <c r="F25" s="164">
        <f t="shared" si="16"/>
        <v>1358346.24</v>
      </c>
    </row>
    <row r="26" spans="1:18">
      <c r="B26" s="160" t="s">
        <v>22</v>
      </c>
      <c r="C26" s="6">
        <v>59</v>
      </c>
      <c r="D26" s="15">
        <f>C26*(1+$C$28)</f>
        <v>61.5075</v>
      </c>
      <c r="E26" s="15">
        <f t="shared" ref="E26:F26" si="17">D26*(1+$C$28)</f>
        <v>64.121568749999994</v>
      </c>
      <c r="F26" s="15">
        <f t="shared" si="17"/>
        <v>66.846735421874996</v>
      </c>
      <c r="H26" s="155" t="s">
        <v>49</v>
      </c>
    </row>
    <row r="27" spans="1:18" ht="15.6" customHeight="1">
      <c r="B27" s="160" t="s">
        <v>23</v>
      </c>
      <c r="C27" s="6">
        <v>18</v>
      </c>
      <c r="D27" s="15">
        <f t="shared" ref="D27:F27" si="18">C27*(1+$C$28)</f>
        <v>18.765000000000001</v>
      </c>
      <c r="E27" s="15">
        <f t="shared" si="18"/>
        <v>19.5625125</v>
      </c>
      <c r="F27" s="15">
        <f t="shared" si="18"/>
        <v>20.39391928125</v>
      </c>
      <c r="H27" s="365" t="s">
        <v>50</v>
      </c>
      <c r="I27" s="365"/>
      <c r="J27" s="365"/>
      <c r="K27" s="365"/>
      <c r="L27" s="365"/>
      <c r="M27" s="365"/>
      <c r="N27" s="38"/>
      <c r="O27" s="38"/>
      <c r="P27" s="38"/>
      <c r="Q27" s="38"/>
      <c r="R27" s="38"/>
    </row>
    <row r="28" spans="1:18">
      <c r="B28" s="162" t="s">
        <v>20</v>
      </c>
      <c r="C28" s="21">
        <f>C44</f>
        <v>4.2500000000000003E-2</v>
      </c>
      <c r="D28" s="2"/>
      <c r="E28" s="2"/>
      <c r="F28" s="2"/>
      <c r="H28" s="365"/>
      <c r="I28" s="365"/>
      <c r="J28" s="365"/>
      <c r="K28" s="365"/>
      <c r="L28" s="365"/>
      <c r="M28" s="365"/>
    </row>
    <row r="29" spans="1:18">
      <c r="B29" s="2"/>
      <c r="C29" s="1"/>
      <c r="D29" s="2"/>
      <c r="E29" s="2"/>
      <c r="F29" s="2"/>
    </row>
    <row r="30" spans="1:18">
      <c r="B30" s="2"/>
      <c r="C30" s="28" t="s">
        <v>8</v>
      </c>
      <c r="D30" s="28" t="s">
        <v>9</v>
      </c>
      <c r="E30" s="28" t="s">
        <v>10</v>
      </c>
      <c r="F30" s="28" t="s">
        <v>11</v>
      </c>
      <c r="H30" s="25" t="s">
        <v>31</v>
      </c>
      <c r="I30" s="25"/>
      <c r="J30" s="171">
        <f>C37</f>
        <v>11000000</v>
      </c>
      <c r="K30" s="25"/>
      <c r="L30" s="37"/>
    </row>
    <row r="31" spans="1:18">
      <c r="A31" s="36" t="s">
        <v>34</v>
      </c>
      <c r="B31" s="2" t="s">
        <v>14</v>
      </c>
      <c r="C31" s="6">
        <v>25000000</v>
      </c>
      <c r="D31" s="14">
        <f>C31*(1+$C$42)</f>
        <v>25812500</v>
      </c>
      <c r="E31" s="14">
        <f>D31*(1+$C$42)</f>
        <v>26651406.25</v>
      </c>
      <c r="F31" s="14">
        <f t="shared" ref="F31" si="19">E31*(1+$C$42)</f>
        <v>27517576.953125</v>
      </c>
      <c r="H31" s="25" t="s">
        <v>51</v>
      </c>
      <c r="I31" s="25"/>
      <c r="J31" s="172">
        <f>C38</f>
        <v>0.15</v>
      </c>
      <c r="K31" s="25" t="s">
        <v>52</v>
      </c>
      <c r="L31" s="37"/>
    </row>
    <row r="32" spans="1:18">
      <c r="B32" s="2" t="s">
        <v>81</v>
      </c>
      <c r="C32" s="6">
        <v>120000000</v>
      </c>
      <c r="D32" s="2"/>
      <c r="E32" s="2"/>
      <c r="F32" s="2"/>
      <c r="H32" s="25"/>
      <c r="I32" s="25"/>
      <c r="J32" s="40" t="s">
        <v>8</v>
      </c>
      <c r="K32" s="40" t="s">
        <v>9</v>
      </c>
      <c r="L32" s="40" t="s">
        <v>10</v>
      </c>
      <c r="M32" s="40" t="s">
        <v>11</v>
      </c>
    </row>
    <row r="33" spans="1:19">
      <c r="B33" s="2" t="s">
        <v>7</v>
      </c>
      <c r="C33" s="6">
        <v>51000000</v>
      </c>
      <c r="D33" s="2"/>
      <c r="E33" s="24"/>
      <c r="F33" s="24"/>
      <c r="H33" s="195" t="s">
        <v>53</v>
      </c>
      <c r="I33" s="26"/>
      <c r="J33" s="26"/>
      <c r="K33" s="26"/>
      <c r="L33" s="26"/>
      <c r="M33" s="197"/>
    </row>
    <row r="34" spans="1:19">
      <c r="A34" s="3" t="s">
        <v>29</v>
      </c>
      <c r="B34" s="2" t="s">
        <v>28</v>
      </c>
      <c r="C34" s="13">
        <v>0.1429</v>
      </c>
      <c r="D34" s="13">
        <v>0.24490000000000001</v>
      </c>
      <c r="E34" s="13">
        <v>0.1749</v>
      </c>
      <c r="F34" s="13">
        <v>0.1249</v>
      </c>
      <c r="H34" s="141" t="s">
        <v>54</v>
      </c>
      <c r="I34" s="2"/>
      <c r="J34" s="6">
        <f>J30</f>
        <v>11000000</v>
      </c>
      <c r="K34" s="6">
        <f>J35</f>
        <v>16080000</v>
      </c>
      <c r="L34" s="6">
        <f>K35</f>
        <v>17123437.800000001</v>
      </c>
      <c r="M34" s="198">
        <f>L35</f>
        <v>18234675.664042495</v>
      </c>
    </row>
    <row r="35" spans="1:19">
      <c r="B35" s="2" t="s">
        <v>30</v>
      </c>
      <c r="C35" s="6">
        <f>$C$32*C34</f>
        <v>17148000</v>
      </c>
      <c r="D35" s="6">
        <f t="shared" ref="D35:F35" si="20">$C$32*D34</f>
        <v>29388000</v>
      </c>
      <c r="E35" s="6">
        <f t="shared" si="20"/>
        <v>20988000</v>
      </c>
      <c r="F35" s="6">
        <f t="shared" si="20"/>
        <v>14988000</v>
      </c>
      <c r="H35" s="141" t="s">
        <v>55</v>
      </c>
      <c r="I35" s="2"/>
      <c r="J35" s="41">
        <f>$J$31*I13</f>
        <v>16080000</v>
      </c>
      <c r="K35" s="41">
        <f>$J$31*J13</f>
        <v>17123437.800000001</v>
      </c>
      <c r="L35" s="41">
        <f>$J$31*K13</f>
        <v>18234675.664042495</v>
      </c>
      <c r="M35" s="199">
        <v>0</v>
      </c>
    </row>
    <row r="36" spans="1:19">
      <c r="B36" s="2" t="s">
        <v>1</v>
      </c>
      <c r="C36" s="5">
        <v>4</v>
      </c>
      <c r="D36" s="2"/>
      <c r="E36" s="2"/>
      <c r="F36" s="2"/>
      <c r="H36" s="196" t="s">
        <v>56</v>
      </c>
      <c r="I36" s="121"/>
      <c r="J36" s="194">
        <f>J34-J35</f>
        <v>-5080000</v>
      </c>
      <c r="K36" s="194">
        <f t="shared" ref="K36:M36" si="21">K34-K35</f>
        <v>-1043437.8000000007</v>
      </c>
      <c r="L36" s="194">
        <f t="shared" si="21"/>
        <v>-1111237.8640424944</v>
      </c>
      <c r="M36" s="200">
        <f t="shared" si="21"/>
        <v>18234675.664042495</v>
      </c>
    </row>
    <row r="37" spans="1:19">
      <c r="B37" s="26" t="s">
        <v>31</v>
      </c>
      <c r="C37" s="27">
        <v>11000000</v>
      </c>
      <c r="D37" s="26"/>
      <c r="E37" s="26"/>
      <c r="F37" s="26"/>
    </row>
    <row r="38" spans="1:19">
      <c r="B38" s="2" t="s">
        <v>33</v>
      </c>
      <c r="C38" s="23">
        <v>0.15</v>
      </c>
      <c r="D38" s="2" t="s">
        <v>32</v>
      </c>
      <c r="E38" s="2"/>
      <c r="F38" s="2"/>
      <c r="H38" s="155" t="s">
        <v>63</v>
      </c>
    </row>
    <row r="39" spans="1:19" ht="15.6" customHeight="1">
      <c r="B39" s="2"/>
      <c r="C39" s="5"/>
      <c r="D39" s="2"/>
      <c r="E39" s="2"/>
      <c r="F39" s="2"/>
      <c r="H39" s="365" t="s">
        <v>64</v>
      </c>
      <c r="I39" s="365"/>
      <c r="J39" s="365"/>
      <c r="K39" s="365"/>
      <c r="L39" s="365"/>
      <c r="M39" s="365"/>
      <c r="N39" s="365"/>
      <c r="O39" s="47"/>
      <c r="P39" s="47"/>
      <c r="Q39" s="47"/>
      <c r="R39" s="47"/>
      <c r="S39" s="47"/>
    </row>
    <row r="40" spans="1:19">
      <c r="B40" s="2" t="s">
        <v>2</v>
      </c>
      <c r="C40" s="12">
        <v>0.159</v>
      </c>
      <c r="D40" s="2"/>
      <c r="E40" s="2"/>
      <c r="F40" s="2"/>
      <c r="H40" s="25" t="s">
        <v>57</v>
      </c>
      <c r="I40" s="25"/>
      <c r="J40" s="171">
        <f>C32</f>
        <v>120000000</v>
      </c>
      <c r="K40" s="43"/>
      <c r="L40" s="44"/>
      <c r="M40" s="37"/>
    </row>
    <row r="41" spans="1:19">
      <c r="B41" s="2" t="s">
        <v>3</v>
      </c>
      <c r="C41" s="7">
        <v>0.21</v>
      </c>
      <c r="D41" s="2"/>
      <c r="E41" s="2"/>
      <c r="F41" s="2"/>
      <c r="H41" s="37"/>
      <c r="I41" s="37"/>
      <c r="J41" s="40" t="s">
        <v>8</v>
      </c>
      <c r="K41" s="40" t="s">
        <v>9</v>
      </c>
      <c r="L41" s="40" t="s">
        <v>10</v>
      </c>
      <c r="M41" s="40" t="s">
        <v>11</v>
      </c>
      <c r="O41" s="48"/>
    </row>
    <row r="42" spans="1:19">
      <c r="B42" s="2" t="s">
        <v>15</v>
      </c>
      <c r="C42" s="18">
        <v>3.2500000000000001E-2</v>
      </c>
      <c r="D42" s="2"/>
      <c r="E42" s="2"/>
      <c r="F42" s="2"/>
      <c r="H42" s="195" t="s">
        <v>58</v>
      </c>
      <c r="I42" s="26"/>
      <c r="J42" s="201">
        <f>J40</f>
        <v>120000000</v>
      </c>
      <c r="K42" s="201">
        <f>J44</f>
        <v>102852000</v>
      </c>
      <c r="L42" s="201">
        <f>K44</f>
        <v>73464000</v>
      </c>
      <c r="M42" s="203">
        <f t="shared" ref="M42" si="22">L44</f>
        <v>52476000</v>
      </c>
    </row>
    <row r="43" spans="1:19">
      <c r="B43" s="16" t="s">
        <v>19</v>
      </c>
      <c r="C43" s="19">
        <v>0.01</v>
      </c>
      <c r="H43" s="141" t="s">
        <v>35</v>
      </c>
      <c r="I43" s="2"/>
      <c r="J43" s="202">
        <f>I18</f>
        <v>17148000</v>
      </c>
      <c r="K43" s="202">
        <f t="shared" ref="K43:M43" si="23">J18</f>
        <v>29388000</v>
      </c>
      <c r="L43" s="202">
        <f t="shared" si="23"/>
        <v>20988000</v>
      </c>
      <c r="M43" s="204">
        <f t="shared" si="23"/>
        <v>14988000</v>
      </c>
    </row>
    <row r="44" spans="1:19">
      <c r="A44" s="3" t="s">
        <v>21</v>
      </c>
      <c r="B44" s="16" t="s">
        <v>20</v>
      </c>
      <c r="C44" s="153">
        <f>C42+C43</f>
        <v>4.2500000000000003E-2</v>
      </c>
      <c r="D44" s="3" t="s">
        <v>79</v>
      </c>
      <c r="H44" s="141" t="s">
        <v>59</v>
      </c>
      <c r="I44" s="2"/>
      <c r="J44" s="202">
        <f>J42-J43</f>
        <v>102852000</v>
      </c>
      <c r="K44" s="202">
        <f>K42-K43</f>
        <v>73464000</v>
      </c>
      <c r="L44" s="202">
        <f>L42-L43</f>
        <v>52476000</v>
      </c>
      <c r="M44" s="204">
        <f t="shared" ref="M44" si="24">M42-M43</f>
        <v>37488000</v>
      </c>
    </row>
    <row r="45" spans="1:19">
      <c r="H45" s="141"/>
      <c r="I45" s="2"/>
      <c r="J45" s="202"/>
      <c r="K45" s="202"/>
      <c r="L45" s="202"/>
      <c r="M45" s="204"/>
    </row>
    <row r="46" spans="1:19">
      <c r="H46" s="141" t="s">
        <v>7</v>
      </c>
      <c r="I46" s="2"/>
      <c r="J46" s="6">
        <f>C33</f>
        <v>51000000</v>
      </c>
      <c r="K46" s="2" t="s">
        <v>60</v>
      </c>
      <c r="L46" s="2"/>
      <c r="M46" s="205">
        <f>M44</f>
        <v>37488000</v>
      </c>
    </row>
    <row r="47" spans="1:19">
      <c r="H47" s="141" t="s">
        <v>65</v>
      </c>
      <c r="I47" s="2"/>
      <c r="J47" s="6"/>
      <c r="K47" s="2"/>
      <c r="L47" s="2"/>
      <c r="M47" s="205"/>
    </row>
    <row r="48" spans="1:19">
      <c r="G48" s="17">
        <v>0.21</v>
      </c>
      <c r="H48" s="141" t="s">
        <v>61</v>
      </c>
      <c r="I48" s="2"/>
      <c r="J48" s="5">
        <f>(J46-M46)*C41</f>
        <v>2837520</v>
      </c>
      <c r="K48" s="6"/>
      <c r="L48" s="15"/>
      <c r="M48" s="206"/>
    </row>
    <row r="49" spans="6:16">
      <c r="H49" s="196" t="s">
        <v>62</v>
      </c>
      <c r="I49" s="121"/>
      <c r="J49" s="194">
        <f>J46-J48</f>
        <v>48162480</v>
      </c>
      <c r="K49" s="121"/>
      <c r="L49" s="121"/>
      <c r="M49" s="207"/>
    </row>
    <row r="50" spans="6:16">
      <c r="H50" s="25"/>
      <c r="I50" s="25"/>
      <c r="J50" s="53"/>
      <c r="K50" s="25"/>
      <c r="L50" s="25"/>
      <c r="M50" s="25"/>
    </row>
    <row r="52" spans="6:16" ht="15.6" customHeight="1">
      <c r="G52" s="38"/>
      <c r="H52" s="155" t="s">
        <v>73</v>
      </c>
      <c r="I52" s="38"/>
      <c r="J52" s="38"/>
      <c r="K52" s="38"/>
      <c r="L52" s="38"/>
      <c r="M52" s="38"/>
      <c r="N52" s="38"/>
      <c r="O52" s="38"/>
      <c r="P52" s="38"/>
    </row>
    <row r="53" spans="6:16">
      <c r="G53" s="25"/>
      <c r="H53" s="55" t="s">
        <v>66</v>
      </c>
      <c r="I53" s="25"/>
      <c r="J53" s="25"/>
      <c r="K53" s="25"/>
      <c r="L53" s="25"/>
      <c r="M53" s="25"/>
      <c r="N53" s="25"/>
      <c r="O53" s="25"/>
      <c r="P53" s="25"/>
    </row>
    <row r="54" spans="6:16">
      <c r="G54" s="25"/>
      <c r="H54" s="54"/>
      <c r="I54" s="25"/>
      <c r="J54" s="25"/>
      <c r="K54" s="25"/>
      <c r="L54" s="25"/>
      <c r="M54" s="25"/>
      <c r="N54" s="25"/>
      <c r="O54" s="25"/>
      <c r="P54" s="25"/>
    </row>
    <row r="55" spans="6:16" ht="16.2" thickBot="1">
      <c r="F55" s="25"/>
      <c r="H55" s="25"/>
      <c r="I55" s="25"/>
      <c r="J55" s="174" t="s">
        <v>67</v>
      </c>
      <c r="K55" s="174" t="s">
        <v>8</v>
      </c>
      <c r="L55" s="174" t="s">
        <v>9</v>
      </c>
      <c r="M55" s="174" t="s">
        <v>10</v>
      </c>
      <c r="N55" s="174" t="s">
        <v>11</v>
      </c>
      <c r="O55" s="40"/>
      <c r="P55" s="25"/>
    </row>
    <row r="56" spans="6:16">
      <c r="F56" s="25"/>
      <c r="H56" s="208" t="s">
        <v>68</v>
      </c>
      <c r="I56" s="209"/>
      <c r="J56" s="209"/>
      <c r="K56" s="210">
        <f>I23</f>
        <v>37823880</v>
      </c>
      <c r="L56" s="210">
        <f t="shared" ref="L56:N56" si="25">J23</f>
        <v>43236809.019999996</v>
      </c>
      <c r="M56" s="210">
        <f t="shared" si="25"/>
        <v>44519686.232953236</v>
      </c>
      <c r="N56" s="211">
        <f t="shared" si="25"/>
        <v>46524807.277615048</v>
      </c>
      <c r="O56" s="39"/>
      <c r="P56" s="25"/>
    </row>
    <row r="57" spans="6:16">
      <c r="F57" s="25"/>
      <c r="H57" s="212" t="s">
        <v>69</v>
      </c>
      <c r="I57" s="213"/>
      <c r="J57" s="214">
        <f>-J40</f>
        <v>-120000000</v>
      </c>
      <c r="K57" s="214"/>
      <c r="L57" s="214"/>
      <c r="M57" s="214"/>
      <c r="N57" s="215">
        <f>J49</f>
        <v>48162480</v>
      </c>
      <c r="O57" s="39"/>
      <c r="P57" s="25"/>
    </row>
    <row r="58" spans="6:16">
      <c r="F58" s="25"/>
      <c r="H58" s="212" t="s">
        <v>53</v>
      </c>
      <c r="I58" s="213"/>
      <c r="J58" s="216">
        <f>-J30</f>
        <v>-11000000</v>
      </c>
      <c r="K58" s="217">
        <f>J36</f>
        <v>-5080000</v>
      </c>
      <c r="L58" s="217">
        <f t="shared" ref="L58:N58" si="26">K36</f>
        <v>-1043437.8000000007</v>
      </c>
      <c r="M58" s="217">
        <f t="shared" si="26"/>
        <v>-1111237.8640424944</v>
      </c>
      <c r="N58" s="218">
        <f t="shared" si="26"/>
        <v>18234675.664042495</v>
      </c>
      <c r="O58" s="5"/>
      <c r="P58" s="25"/>
    </row>
    <row r="59" spans="6:16" ht="16.2" thickBot="1">
      <c r="F59" s="25"/>
      <c r="H59" s="219" t="s">
        <v>70</v>
      </c>
      <c r="I59" s="220"/>
      <c r="J59" s="221">
        <f>SUM(J56:J58)</f>
        <v>-131000000</v>
      </c>
      <c r="K59" s="221">
        <f>SUM(K56:K58)</f>
        <v>32743880</v>
      </c>
      <c r="L59" s="221">
        <f t="shared" ref="L59:N59" si="27">SUM(L56:L58)</f>
        <v>42193371.219999999</v>
      </c>
      <c r="M59" s="221">
        <f t="shared" si="27"/>
        <v>43408448.368910745</v>
      </c>
      <c r="N59" s="222">
        <f t="shared" si="27"/>
        <v>112921962.94165754</v>
      </c>
      <c r="O59" s="39"/>
      <c r="P59" s="25"/>
    </row>
    <row r="60" spans="6:16" ht="16.2" thickBot="1">
      <c r="F60" s="25"/>
      <c r="H60" s="25"/>
      <c r="I60" s="25"/>
      <c r="J60" s="25"/>
      <c r="K60" s="25"/>
      <c r="L60" s="25"/>
      <c r="M60" s="25"/>
      <c r="N60" s="25"/>
      <c r="O60" s="25"/>
      <c r="P60" s="25"/>
    </row>
    <row r="61" spans="6:16" ht="16.2" thickBot="1">
      <c r="F61" s="25"/>
      <c r="G61" s="58">
        <f>C40</f>
        <v>0.159</v>
      </c>
      <c r="H61" s="223" t="s">
        <v>71</v>
      </c>
      <c r="I61" s="224">
        <f>NPV(G61,K59:N59)+J59</f>
        <v>19125834.624624908</v>
      </c>
      <c r="K61" s="113" t="s">
        <v>124</v>
      </c>
      <c r="L61" s="52" t="s">
        <v>74</v>
      </c>
      <c r="M61" s="25"/>
      <c r="N61" s="25"/>
      <c r="O61" s="25"/>
      <c r="P61" s="25"/>
    </row>
    <row r="62" spans="6:16" ht="16.2" thickBot="1">
      <c r="F62" s="25"/>
      <c r="I62" s="59"/>
      <c r="J62" s="25"/>
      <c r="K62" s="52"/>
      <c r="L62" s="39"/>
      <c r="M62" s="25"/>
      <c r="N62" s="25"/>
      <c r="O62" s="25"/>
      <c r="P62" s="25"/>
    </row>
    <row r="63" spans="6:16" ht="16.2" thickBot="1">
      <c r="F63" s="25"/>
      <c r="H63" s="223" t="s">
        <v>72</v>
      </c>
      <c r="I63" s="225">
        <f>IRR(J59:N59)</f>
        <v>0.21684330774067972</v>
      </c>
      <c r="J63" s="25"/>
      <c r="K63" s="52" t="s">
        <v>125</v>
      </c>
      <c r="L63" s="25"/>
      <c r="M63" s="25"/>
      <c r="N63" s="25"/>
      <c r="O63" s="25"/>
      <c r="P63" s="25"/>
    </row>
    <row r="65" spans="8:14" ht="9.6" customHeight="1">
      <c r="H65" s="364" t="s">
        <v>133</v>
      </c>
      <c r="I65" s="364"/>
      <c r="J65" s="364"/>
      <c r="K65" s="364"/>
      <c r="L65" s="364"/>
      <c r="M65" s="364"/>
      <c r="N65" s="364"/>
    </row>
    <row r="66" spans="8:14">
      <c r="H66" s="364"/>
      <c r="I66" s="364"/>
      <c r="J66" s="364"/>
      <c r="K66" s="364"/>
      <c r="L66" s="364"/>
      <c r="M66" s="364"/>
      <c r="N66" s="364"/>
    </row>
    <row r="67" spans="8:14">
      <c r="H67" s="364"/>
      <c r="I67" s="364"/>
      <c r="J67" s="364"/>
      <c r="K67" s="364"/>
      <c r="L67" s="364"/>
      <c r="M67" s="364"/>
      <c r="N67" s="364"/>
    </row>
    <row r="68" spans="8:14">
      <c r="H68" s="364"/>
      <c r="I68" s="364"/>
      <c r="J68" s="364"/>
      <c r="K68" s="364"/>
      <c r="L68" s="364"/>
      <c r="M68" s="364"/>
      <c r="N68" s="364"/>
    </row>
    <row r="69" spans="8:14" ht="24" customHeight="1">
      <c r="H69" s="364"/>
      <c r="I69" s="364"/>
      <c r="J69" s="364"/>
      <c r="K69" s="364"/>
      <c r="L69" s="364"/>
      <c r="M69" s="364"/>
      <c r="N69" s="364"/>
    </row>
    <row r="70" spans="8:14">
      <c r="H70" s="364"/>
      <c r="I70" s="364"/>
      <c r="J70" s="364"/>
      <c r="K70" s="364"/>
      <c r="L70" s="364"/>
      <c r="M70" s="364"/>
      <c r="N70" s="364"/>
    </row>
    <row r="71" spans="8:14" ht="36.6" customHeight="1">
      <c r="H71" s="364"/>
      <c r="I71" s="364"/>
      <c r="J71" s="364"/>
      <c r="K71" s="364"/>
      <c r="L71" s="364"/>
      <c r="M71" s="364"/>
      <c r="N71" s="364"/>
    </row>
    <row r="72" spans="8:14" ht="50.4" customHeight="1">
      <c r="H72" s="364"/>
      <c r="I72" s="364"/>
      <c r="J72" s="364"/>
      <c r="K72" s="364"/>
      <c r="L72" s="364"/>
      <c r="M72" s="364"/>
      <c r="N72" s="364"/>
    </row>
  </sheetData>
  <mergeCells count="9">
    <mergeCell ref="B1:C1"/>
    <mergeCell ref="B2:C2"/>
    <mergeCell ref="B3:D3"/>
    <mergeCell ref="H65:N72"/>
    <mergeCell ref="H39:N39"/>
    <mergeCell ref="A10:B10"/>
    <mergeCell ref="A21:B21"/>
    <mergeCell ref="H9:L9"/>
    <mergeCell ref="H27:M2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DFC24-A1E7-482F-9B2E-0C2C13F85E76}">
  <dimension ref="A1:S147"/>
  <sheetViews>
    <sheetView showGridLines="0" topLeftCell="A61" zoomScaleNormal="100" workbookViewId="0">
      <selection activeCell="N74" sqref="N74"/>
    </sheetView>
  </sheetViews>
  <sheetFormatPr defaultColWidth="8.796875" defaultRowHeight="15.6"/>
  <cols>
    <col min="1" max="1" width="7.5" style="3" bestFit="1" customWidth="1"/>
    <col min="2" max="2" width="26.296875" style="3" bestFit="1" customWidth="1"/>
    <col min="3" max="3" width="20.8984375" style="3" bestFit="1" customWidth="1"/>
    <col min="4" max="4" width="14.8984375" style="3" bestFit="1" customWidth="1"/>
    <col min="5" max="5" width="14.3984375" style="3" bestFit="1" customWidth="1"/>
    <col min="6" max="6" width="23.3984375" style="3" bestFit="1" customWidth="1"/>
    <col min="7" max="7" width="16" style="3" bestFit="1" customWidth="1"/>
    <col min="8" max="8" width="12.296875" style="3" bestFit="1" customWidth="1"/>
    <col min="9" max="10" width="14.69921875" style="3" bestFit="1" customWidth="1"/>
    <col min="11" max="12" width="14.796875" style="3" bestFit="1" customWidth="1"/>
    <col min="13" max="13" width="13.796875" style="3" bestFit="1" customWidth="1"/>
    <col min="14" max="14" width="13.69921875" style="3" bestFit="1" customWidth="1"/>
    <col min="15" max="15" width="12.3984375" style="3" bestFit="1" customWidth="1"/>
    <col min="16" max="16384" width="8.796875" style="3"/>
  </cols>
  <sheetData>
    <row r="1" spans="2:14" ht="17.399999999999999">
      <c r="B1" s="363" t="s">
        <v>115</v>
      </c>
      <c r="C1" s="363"/>
      <c r="D1" s="363"/>
      <c r="E1" s="154"/>
      <c r="F1" s="154"/>
      <c r="G1" s="154"/>
      <c r="H1" s="154"/>
      <c r="I1" s="154"/>
      <c r="J1" s="154"/>
      <c r="K1" s="154"/>
      <c r="L1" s="154"/>
      <c r="M1" s="154"/>
      <c r="N1" s="154"/>
    </row>
    <row r="2" spans="2:14">
      <c r="B2" s="376" t="s">
        <v>75</v>
      </c>
      <c r="C2" s="376"/>
      <c r="D2" s="376"/>
      <c r="E2" s="376"/>
      <c r="F2" s="376"/>
      <c r="G2" s="376"/>
      <c r="H2" s="376"/>
      <c r="I2" s="376"/>
      <c r="J2" s="376"/>
      <c r="K2" s="376"/>
      <c r="L2" s="376"/>
    </row>
    <row r="3" spans="2:14">
      <c r="B3" s="376"/>
      <c r="C3" s="376"/>
      <c r="D3" s="376"/>
      <c r="E3" s="376"/>
      <c r="F3" s="376"/>
      <c r="G3" s="376"/>
      <c r="H3" s="376"/>
      <c r="I3" s="376"/>
      <c r="J3" s="376"/>
      <c r="K3" s="376"/>
      <c r="L3" s="376"/>
    </row>
    <row r="4" spans="2:14">
      <c r="B4" s="376"/>
      <c r="C4" s="376"/>
      <c r="D4" s="376"/>
      <c r="E4" s="376"/>
      <c r="F4" s="376"/>
      <c r="G4" s="376"/>
      <c r="H4" s="376"/>
      <c r="I4" s="376"/>
      <c r="J4" s="376"/>
      <c r="K4" s="376"/>
      <c r="L4" s="376"/>
    </row>
    <row r="5" spans="2:14">
      <c r="B5" s="376"/>
      <c r="C5" s="376"/>
      <c r="D5" s="376"/>
      <c r="E5" s="376"/>
      <c r="F5" s="376"/>
      <c r="G5" s="376"/>
      <c r="H5" s="376"/>
      <c r="I5" s="376"/>
      <c r="J5" s="376"/>
      <c r="K5" s="376"/>
      <c r="L5" s="376"/>
    </row>
    <row r="6" spans="2:14" ht="15.6" customHeight="1">
      <c r="B6" s="376" t="s">
        <v>113</v>
      </c>
      <c r="C6" s="376"/>
      <c r="D6" s="376"/>
      <c r="E6" s="376"/>
      <c r="F6" s="376"/>
      <c r="G6" s="376"/>
      <c r="H6" s="376"/>
      <c r="I6" s="226"/>
      <c r="J6" s="226"/>
      <c r="K6" s="226"/>
      <c r="L6" s="226"/>
    </row>
    <row r="7" spans="2:14">
      <c r="B7" s="376"/>
      <c r="C7" s="376"/>
      <c r="D7" s="376"/>
      <c r="E7" s="376"/>
      <c r="F7" s="376"/>
      <c r="G7" s="376"/>
      <c r="H7" s="376"/>
      <c r="I7" s="226"/>
      <c r="J7" s="226"/>
      <c r="K7" s="226"/>
      <c r="L7" s="226"/>
    </row>
    <row r="8" spans="2:14" ht="16.2" thickBot="1">
      <c r="B8" s="83"/>
      <c r="C8" s="83"/>
      <c r="D8" s="83"/>
      <c r="E8" s="84"/>
      <c r="F8" s="379" t="s">
        <v>88</v>
      </c>
      <c r="G8" s="379"/>
      <c r="H8" s="379"/>
      <c r="K8" s="75"/>
      <c r="L8" s="75"/>
    </row>
    <row r="9" spans="2:14">
      <c r="B9" s="377" t="s">
        <v>83</v>
      </c>
      <c r="C9" s="378"/>
      <c r="D9" s="240" t="s">
        <v>95</v>
      </c>
      <c r="E9" s="84"/>
      <c r="F9" s="247"/>
      <c r="G9" s="248" t="s">
        <v>89</v>
      </c>
      <c r="H9" s="249" t="s">
        <v>90</v>
      </c>
      <c r="K9" s="75"/>
      <c r="L9" s="75"/>
    </row>
    <row r="10" spans="2:14">
      <c r="B10" s="241" t="s">
        <v>84</v>
      </c>
      <c r="C10" s="242">
        <v>7.0000000000000007E-2</v>
      </c>
      <c r="D10" s="243" t="s">
        <v>94</v>
      </c>
      <c r="E10" s="84"/>
      <c r="F10" s="250" t="s">
        <v>76</v>
      </c>
      <c r="G10" s="251">
        <v>2000000</v>
      </c>
      <c r="H10" s="252">
        <v>16000000</v>
      </c>
      <c r="K10" s="75"/>
      <c r="L10" s="75"/>
    </row>
    <row r="11" spans="2:14">
      <c r="B11" s="241" t="s">
        <v>12</v>
      </c>
      <c r="C11" s="242">
        <v>0.01</v>
      </c>
      <c r="D11" s="243" t="s">
        <v>94</v>
      </c>
      <c r="E11" s="84"/>
      <c r="F11" s="250" t="s">
        <v>12</v>
      </c>
      <c r="G11" s="253">
        <v>2.5000000000000001E-2</v>
      </c>
      <c r="H11" s="254">
        <v>0.02</v>
      </c>
      <c r="K11" s="75"/>
      <c r="L11" s="75"/>
    </row>
    <row r="12" spans="2:14">
      <c r="B12" s="241" t="s">
        <v>85</v>
      </c>
      <c r="C12" s="242">
        <v>0.01</v>
      </c>
      <c r="D12" s="243" t="s">
        <v>94</v>
      </c>
      <c r="E12" s="84"/>
      <c r="F12" s="250" t="s">
        <v>85</v>
      </c>
      <c r="G12" s="255">
        <v>0.11</v>
      </c>
      <c r="H12" s="256">
        <v>0.08</v>
      </c>
      <c r="K12" s="75"/>
      <c r="L12" s="75"/>
    </row>
    <row r="13" spans="2:14">
      <c r="B13" s="241" t="s">
        <v>86</v>
      </c>
      <c r="C13" s="242">
        <v>0.05</v>
      </c>
      <c r="D13" s="243" t="s">
        <v>94</v>
      </c>
      <c r="E13" s="84"/>
      <c r="F13" s="250" t="s">
        <v>86</v>
      </c>
      <c r="G13" s="257">
        <v>36</v>
      </c>
      <c r="H13" s="258">
        <v>59</v>
      </c>
      <c r="K13" s="75"/>
      <c r="L13" s="75"/>
    </row>
    <row r="14" spans="2:14">
      <c r="B14" s="241" t="s">
        <v>87</v>
      </c>
      <c r="C14" s="242">
        <v>0.05</v>
      </c>
      <c r="D14" s="243" t="s">
        <v>94</v>
      </c>
      <c r="E14" s="84"/>
      <c r="F14" s="250" t="s">
        <v>87</v>
      </c>
      <c r="G14" s="257">
        <v>18</v>
      </c>
      <c r="H14" s="258">
        <v>18</v>
      </c>
      <c r="K14" s="75"/>
      <c r="L14" s="75"/>
    </row>
    <row r="15" spans="2:14">
      <c r="B15" s="241" t="s">
        <v>97</v>
      </c>
      <c r="C15" s="242">
        <v>0.01</v>
      </c>
      <c r="D15" s="243" t="s">
        <v>94</v>
      </c>
      <c r="E15" s="84"/>
      <c r="F15" s="250" t="s">
        <v>97</v>
      </c>
      <c r="G15" s="384">
        <v>0.01</v>
      </c>
      <c r="H15" s="385"/>
      <c r="K15" s="75"/>
      <c r="L15" s="75"/>
    </row>
    <row r="16" spans="2:14">
      <c r="B16" s="241" t="s">
        <v>98</v>
      </c>
      <c r="C16" s="242">
        <v>0.01</v>
      </c>
      <c r="D16" s="243" t="s">
        <v>94</v>
      </c>
      <c r="E16" s="84"/>
      <c r="F16" s="250" t="s">
        <v>98</v>
      </c>
      <c r="G16" s="384">
        <v>0.01</v>
      </c>
      <c r="H16" s="385"/>
      <c r="K16" s="75"/>
      <c r="L16" s="75"/>
    </row>
    <row r="17" spans="1:12">
      <c r="B17" s="241" t="s">
        <v>100</v>
      </c>
      <c r="C17" s="242" t="s">
        <v>99</v>
      </c>
      <c r="D17" s="243"/>
      <c r="E17" s="84"/>
      <c r="F17" s="250" t="s">
        <v>100</v>
      </c>
      <c r="G17" s="386">
        <v>3.2500000000000001E-2</v>
      </c>
      <c r="H17" s="387"/>
      <c r="K17" s="75"/>
      <c r="L17" s="75"/>
    </row>
    <row r="18" spans="1:12">
      <c r="B18" s="241" t="s">
        <v>91</v>
      </c>
      <c r="C18" s="242">
        <v>0.1</v>
      </c>
      <c r="D18" s="243" t="s">
        <v>94</v>
      </c>
      <c r="E18" s="84"/>
      <c r="F18" s="250" t="s">
        <v>91</v>
      </c>
      <c r="G18" s="380">
        <v>25000000</v>
      </c>
      <c r="H18" s="381"/>
      <c r="K18" s="75"/>
      <c r="L18" s="75"/>
    </row>
    <row r="19" spans="1:12">
      <c r="B19" s="241" t="s">
        <v>92</v>
      </c>
      <c r="C19" s="242">
        <v>0.1</v>
      </c>
      <c r="D19" s="243" t="s">
        <v>94</v>
      </c>
      <c r="E19" s="84"/>
      <c r="F19" s="250" t="s">
        <v>92</v>
      </c>
      <c r="G19" s="380">
        <v>120000000</v>
      </c>
      <c r="H19" s="381"/>
      <c r="K19" s="75"/>
      <c r="L19" s="75"/>
    </row>
    <row r="20" spans="1:12">
      <c r="B20" s="241" t="s">
        <v>7</v>
      </c>
      <c r="C20" s="242" t="s">
        <v>99</v>
      </c>
      <c r="D20" s="243"/>
      <c r="E20" s="84"/>
      <c r="F20" s="250" t="s">
        <v>7</v>
      </c>
      <c r="G20" s="380">
        <v>51000000</v>
      </c>
      <c r="H20" s="381"/>
      <c r="K20" s="75"/>
      <c r="L20" s="75"/>
    </row>
    <row r="21" spans="1:12">
      <c r="B21" s="241" t="s">
        <v>77</v>
      </c>
      <c r="C21" s="242">
        <v>0.1</v>
      </c>
      <c r="D21" s="243" t="s">
        <v>94</v>
      </c>
      <c r="E21" s="84"/>
      <c r="F21" s="250" t="s">
        <v>93</v>
      </c>
      <c r="G21" s="380">
        <v>11000000</v>
      </c>
      <c r="H21" s="381"/>
      <c r="K21" s="75"/>
      <c r="L21" s="75"/>
    </row>
    <row r="22" spans="1:12" ht="16.2" thickBot="1">
      <c r="B22" s="244" t="s">
        <v>96</v>
      </c>
      <c r="C22" s="245">
        <v>0.03</v>
      </c>
      <c r="D22" s="246" t="s">
        <v>94</v>
      </c>
      <c r="E22" s="83"/>
      <c r="F22" s="259" t="s">
        <v>96</v>
      </c>
      <c r="G22" s="382">
        <v>0.15</v>
      </c>
      <c r="H22" s="383"/>
      <c r="I22" s="75"/>
      <c r="J22" s="75"/>
      <c r="K22" s="75"/>
      <c r="L22" s="75"/>
    </row>
    <row r="23" spans="1:12" ht="16.2" thickBot="1">
      <c r="A23" s="155" t="s">
        <v>47</v>
      </c>
      <c r="H23" s="155" t="s">
        <v>48</v>
      </c>
    </row>
    <row r="24" spans="1:12" ht="18">
      <c r="A24" s="29"/>
      <c r="B24" s="2"/>
      <c r="C24" s="227" t="s">
        <v>82</v>
      </c>
      <c r="H24" s="372" t="s">
        <v>43</v>
      </c>
      <c r="I24" s="373"/>
      <c r="J24" s="373"/>
      <c r="K24" s="373"/>
      <c r="L24" s="374"/>
    </row>
    <row r="25" spans="1:12" ht="33" customHeight="1">
      <c r="A25" s="366" t="s">
        <v>16</v>
      </c>
      <c r="B25" s="366"/>
      <c r="C25" s="156" t="s">
        <v>8</v>
      </c>
      <c r="D25" s="156" t="s">
        <v>9</v>
      </c>
      <c r="E25" s="156" t="s">
        <v>10</v>
      </c>
      <c r="F25" s="156" t="s">
        <v>11</v>
      </c>
      <c r="H25" s="261"/>
      <c r="I25" s="165" t="s">
        <v>8</v>
      </c>
      <c r="J25" s="165" t="s">
        <v>9</v>
      </c>
      <c r="K25" s="165" t="s">
        <v>10</v>
      </c>
      <c r="L25" s="266" t="s">
        <v>11</v>
      </c>
    </row>
    <row r="26" spans="1:12">
      <c r="A26" s="78" t="s">
        <v>103</v>
      </c>
      <c r="B26" s="8" t="s">
        <v>24</v>
      </c>
      <c r="C26" s="4">
        <f>G10*(1+C10)</f>
        <v>2140000</v>
      </c>
      <c r="D26" s="14">
        <f>C26*(1+$C$27)</f>
        <v>2214900</v>
      </c>
      <c r="E26" s="14">
        <f>D26*(1+$C$27)</f>
        <v>2292421.5</v>
      </c>
      <c r="F26" s="14">
        <f>E26*(1+$C$27)</f>
        <v>2372656.2524999999</v>
      </c>
      <c r="H26" s="262" t="s">
        <v>40</v>
      </c>
      <c r="I26" s="6">
        <f>C31*C32</f>
        <v>38828160.000000007</v>
      </c>
      <c r="J26" s="6">
        <f t="shared" ref="J26:L26" si="0">D31*D32</f>
        <v>42296970.744000003</v>
      </c>
      <c r="K26" s="6">
        <f t="shared" si="0"/>
        <v>46075676.367842108</v>
      </c>
      <c r="L26" s="267">
        <f t="shared" si="0"/>
        <v>50191962.10535419</v>
      </c>
    </row>
    <row r="27" spans="1:12">
      <c r="A27" s="78" t="s">
        <v>103</v>
      </c>
      <c r="B27" s="8" t="s">
        <v>12</v>
      </c>
      <c r="C27" s="12">
        <f>G11+C11</f>
        <v>3.5000000000000003E-2</v>
      </c>
      <c r="D27" s="2"/>
      <c r="E27" s="2"/>
      <c r="F27" s="2"/>
      <c r="H27" s="262" t="s">
        <v>41</v>
      </c>
      <c r="I27" s="6">
        <f>C40*C41</f>
        <v>95452560</v>
      </c>
      <c r="J27" s="6">
        <f t="shared" ref="J27:L27" si="1">D40*D41</f>
        <v>103477733.98200001</v>
      </c>
      <c r="K27" s="6">
        <f t="shared" si="1"/>
        <v>112177624.46653664</v>
      </c>
      <c r="L27" s="267">
        <f t="shared" si="1"/>
        <v>121608958.2435607</v>
      </c>
    </row>
    <row r="28" spans="1:12">
      <c r="A28" s="78" t="s">
        <v>103</v>
      </c>
      <c r="B28" s="9" t="s">
        <v>13</v>
      </c>
      <c r="C28" s="1">
        <f>G12+C12</f>
        <v>0.12</v>
      </c>
      <c r="D28" s="2"/>
      <c r="E28" s="2"/>
      <c r="F28" s="2"/>
      <c r="H28" s="263" t="s">
        <v>42</v>
      </c>
      <c r="I28" s="158">
        <f>SUM(I26:I27)</f>
        <v>134280720</v>
      </c>
      <c r="J28" s="158">
        <f t="shared" ref="J28:L28" si="2">SUM(J26:J27)</f>
        <v>145774704.72600001</v>
      </c>
      <c r="K28" s="158">
        <f t="shared" si="2"/>
        <v>158253300.83437875</v>
      </c>
      <c r="L28" s="268">
        <f t="shared" si="2"/>
        <v>171800920.34891489</v>
      </c>
    </row>
    <row r="29" spans="1:12">
      <c r="B29" s="2" t="s">
        <v>25</v>
      </c>
      <c r="C29" s="14">
        <f>C26*$C$28</f>
        <v>256800</v>
      </c>
      <c r="D29" s="14">
        <f>D26*$C$28</f>
        <v>265788</v>
      </c>
      <c r="E29" s="14">
        <f>E26*$C$28</f>
        <v>275090.58</v>
      </c>
      <c r="F29" s="14">
        <f>F26*$C$28</f>
        <v>284718.75029999996</v>
      </c>
      <c r="H29" s="262" t="s">
        <v>44</v>
      </c>
      <c r="I29" s="6">
        <f>C31*C33</f>
        <v>17565119.999999996</v>
      </c>
      <c r="J29" s="6">
        <f t="shared" ref="J29:L29" si="3">D31*D33</f>
        <v>18770745.923999999</v>
      </c>
      <c r="K29" s="6">
        <f t="shared" si="3"/>
        <v>20059122.997358549</v>
      </c>
      <c r="L29" s="267">
        <f t="shared" si="3"/>
        <v>21435931.05208974</v>
      </c>
    </row>
    <row r="30" spans="1:12">
      <c r="B30" s="8" t="s">
        <v>26</v>
      </c>
      <c r="C30" s="4">
        <v>4</v>
      </c>
      <c r="D30" s="22"/>
      <c r="E30" s="22"/>
      <c r="F30" s="22"/>
      <c r="H30" s="262" t="s">
        <v>45</v>
      </c>
      <c r="I30" s="6">
        <f>C40*C42</f>
        <v>26347679.999999996</v>
      </c>
      <c r="J30" s="6">
        <f t="shared" ref="J30:L30" si="4">D40*D42</f>
        <v>28020098.987999998</v>
      </c>
      <c r="K30" s="6">
        <f t="shared" si="4"/>
        <v>29798674.771263298</v>
      </c>
      <c r="L30" s="267">
        <f t="shared" si="4"/>
        <v>31690145.652369235</v>
      </c>
    </row>
    <row r="31" spans="1:12">
      <c r="B31" s="30" t="s">
        <v>27</v>
      </c>
      <c r="C31" s="163">
        <f>C29*$C$30</f>
        <v>1027200</v>
      </c>
      <c r="D31" s="163">
        <f t="shared" ref="D31:F31" si="5">D29*$C$30</f>
        <v>1063152</v>
      </c>
      <c r="E31" s="163">
        <f t="shared" si="5"/>
        <v>1100362.32</v>
      </c>
      <c r="F31" s="163">
        <f t="shared" si="5"/>
        <v>1138875.0011999998</v>
      </c>
      <c r="H31" s="264" t="s">
        <v>46</v>
      </c>
      <c r="I31" s="158">
        <f>SUM(I29:I30)</f>
        <v>43912799.999999993</v>
      </c>
      <c r="J31" s="158">
        <f t="shared" ref="J31:L31" si="6">SUM(J29:J30)</f>
        <v>46790844.912</v>
      </c>
      <c r="K31" s="158">
        <f t="shared" si="6"/>
        <v>49857797.768621847</v>
      </c>
      <c r="L31" s="268">
        <f t="shared" si="6"/>
        <v>53126076.704458974</v>
      </c>
    </row>
    <row r="32" spans="1:12">
      <c r="A32" s="78" t="s">
        <v>103</v>
      </c>
      <c r="B32" s="2" t="s">
        <v>22</v>
      </c>
      <c r="C32" s="76">
        <f>G13*(1+C13)</f>
        <v>37.800000000000004</v>
      </c>
      <c r="D32" s="15">
        <f>C32*(1+$C$34)</f>
        <v>39.784500000000001</v>
      </c>
      <c r="E32" s="15">
        <f t="shared" ref="E32:F32" si="7">D32*(1+$C$34)</f>
        <v>41.873186250000003</v>
      </c>
      <c r="F32" s="15">
        <f t="shared" si="7"/>
        <v>44.071528528125</v>
      </c>
      <c r="H32" s="262" t="s">
        <v>34</v>
      </c>
      <c r="I32" s="6">
        <f>C46</f>
        <v>22500000</v>
      </c>
      <c r="J32" s="6">
        <f t="shared" ref="J32:L32" si="8">D46</f>
        <v>23231250</v>
      </c>
      <c r="K32" s="6">
        <f t="shared" si="8"/>
        <v>23986265.625</v>
      </c>
      <c r="L32" s="267">
        <f t="shared" si="8"/>
        <v>24765819.2578125</v>
      </c>
    </row>
    <row r="33" spans="1:18">
      <c r="A33" s="78" t="s">
        <v>104</v>
      </c>
      <c r="B33" s="2" t="s">
        <v>23</v>
      </c>
      <c r="C33" s="76">
        <f>G14*(1-C14)</f>
        <v>17.099999999999998</v>
      </c>
      <c r="D33" s="15">
        <f>C33*(1+$C$35)</f>
        <v>17.655749999999998</v>
      </c>
      <c r="E33" s="15">
        <f t="shared" ref="E33:F33" si="9">D33*(1+$C$35)</f>
        <v>18.229561874999998</v>
      </c>
      <c r="F33" s="15">
        <f t="shared" si="9"/>
        <v>18.822022635937497</v>
      </c>
      <c r="H33" s="262" t="s">
        <v>35</v>
      </c>
      <c r="I33" s="6">
        <f>C50</f>
        <v>15433200</v>
      </c>
      <c r="J33" s="6">
        <f t="shared" ref="J33:L33" si="10">D50</f>
        <v>26449200</v>
      </c>
      <c r="K33" s="6">
        <f t="shared" si="10"/>
        <v>18889200</v>
      </c>
      <c r="L33" s="267">
        <f t="shared" si="10"/>
        <v>13489200</v>
      </c>
    </row>
    <row r="34" spans="1:18">
      <c r="A34" s="78" t="s">
        <v>103</v>
      </c>
      <c r="B34" s="16" t="s">
        <v>101</v>
      </c>
      <c r="C34" s="21">
        <f>G17+G15+C15</f>
        <v>5.2500000000000005E-2</v>
      </c>
      <c r="D34" s="2"/>
      <c r="E34" s="2"/>
      <c r="F34" s="2"/>
      <c r="H34" s="262" t="s">
        <v>36</v>
      </c>
      <c r="I34" s="6">
        <f>I28-I31-I32-I33</f>
        <v>52434720</v>
      </c>
      <c r="J34" s="6">
        <f t="shared" ref="J34:L34" si="11">J28-J31-J32-J33</f>
        <v>49303409.81400001</v>
      </c>
      <c r="K34" s="6">
        <f t="shared" si="11"/>
        <v>65520037.440756902</v>
      </c>
      <c r="L34" s="267">
        <f t="shared" si="11"/>
        <v>80419824.38664341</v>
      </c>
    </row>
    <row r="35" spans="1:18">
      <c r="A35" s="78" t="s">
        <v>104</v>
      </c>
      <c r="B35" s="16" t="s">
        <v>102</v>
      </c>
      <c r="C35" s="77">
        <f>G17+G16-C16</f>
        <v>3.2500000000000001E-2</v>
      </c>
      <c r="D35" s="2"/>
      <c r="E35" s="2"/>
      <c r="F35" s="2"/>
      <c r="H35" s="262" t="s">
        <v>39</v>
      </c>
      <c r="I35" s="6">
        <f>I34*$C$56</f>
        <v>11011291.199999999</v>
      </c>
      <c r="J35" s="6">
        <f t="shared" ref="J35:K35" si="12">J34*$C$56</f>
        <v>10353716.060940001</v>
      </c>
      <c r="K35" s="6">
        <f t="shared" si="12"/>
        <v>13759207.86255895</v>
      </c>
      <c r="L35" s="267">
        <f>L34*$C$56</f>
        <v>16888163.121195115</v>
      </c>
    </row>
    <row r="36" spans="1:18" ht="21.6" customHeight="1">
      <c r="A36" s="371" t="s">
        <v>18</v>
      </c>
      <c r="B36" s="371"/>
      <c r="C36" s="61" t="s">
        <v>8</v>
      </c>
      <c r="D36" s="61" t="s">
        <v>9</v>
      </c>
      <c r="E36" s="61" t="s">
        <v>10</v>
      </c>
      <c r="F36" s="61" t="s">
        <v>11</v>
      </c>
      <c r="H36" s="262" t="s">
        <v>37</v>
      </c>
      <c r="I36" s="6">
        <f>I34-I35</f>
        <v>41423428.799999997</v>
      </c>
      <c r="J36" s="6">
        <f t="shared" ref="J36:L36" si="13">J34-J35</f>
        <v>38949693.753060013</v>
      </c>
      <c r="K36" s="6">
        <f>K34-K35</f>
        <v>51760829.578197956</v>
      </c>
      <c r="L36" s="267">
        <f t="shared" si="13"/>
        <v>63531661.265448295</v>
      </c>
    </row>
    <row r="37" spans="1:18">
      <c r="A37" s="78" t="s">
        <v>103</v>
      </c>
      <c r="B37" s="8" t="s">
        <v>17</v>
      </c>
      <c r="C37" s="4">
        <f>H10*(1+C10)</f>
        <v>17120000</v>
      </c>
      <c r="D37" s="14">
        <f>C37*(1+$C$38)</f>
        <v>17633600</v>
      </c>
      <c r="E37" s="14">
        <f t="shared" ref="E37:F37" si="14">D37*(1+$C$38)</f>
        <v>18162608</v>
      </c>
      <c r="F37" s="14">
        <f t="shared" si="14"/>
        <v>18707486.240000002</v>
      </c>
      <c r="H37" s="261"/>
      <c r="I37" s="33"/>
      <c r="J37" s="33"/>
      <c r="K37" s="33"/>
      <c r="L37" s="269"/>
    </row>
    <row r="38" spans="1:18" ht="16.2" thickBot="1">
      <c r="A38" s="78" t="s">
        <v>103</v>
      </c>
      <c r="B38" s="8" t="s">
        <v>12</v>
      </c>
      <c r="C38" s="12">
        <f>H11+C11</f>
        <v>0.03</v>
      </c>
      <c r="D38" s="2"/>
      <c r="E38" s="2"/>
      <c r="F38" s="2"/>
      <c r="H38" s="265" t="s">
        <v>38</v>
      </c>
      <c r="I38" s="260">
        <f>I36+I33</f>
        <v>56856628.799999997</v>
      </c>
      <c r="J38" s="260">
        <f t="shared" ref="J38:L38" si="15">J36+J33</f>
        <v>65398893.753060013</v>
      </c>
      <c r="K38" s="260">
        <f t="shared" si="15"/>
        <v>70650029.578197956</v>
      </c>
      <c r="L38" s="270">
        <f t="shared" si="15"/>
        <v>77020861.265448302</v>
      </c>
    </row>
    <row r="39" spans="1:18">
      <c r="A39" s="78" t="s">
        <v>103</v>
      </c>
      <c r="B39" s="9" t="s">
        <v>13</v>
      </c>
      <c r="C39" s="1">
        <f>H12+C12</f>
        <v>0.09</v>
      </c>
      <c r="D39" s="2"/>
      <c r="E39" s="2"/>
      <c r="F39" s="2"/>
    </row>
    <row r="40" spans="1:18">
      <c r="B40" s="30" t="s">
        <v>27</v>
      </c>
      <c r="C40" s="164">
        <f>C37*$C$39</f>
        <v>1540800</v>
      </c>
      <c r="D40" s="164">
        <f t="shared" ref="D40:F40" si="16">D37*$C$39</f>
        <v>1587024</v>
      </c>
      <c r="E40" s="164">
        <f t="shared" si="16"/>
        <v>1634634.72</v>
      </c>
      <c r="F40" s="164">
        <f t="shared" si="16"/>
        <v>1683673.7616000001</v>
      </c>
    </row>
    <row r="41" spans="1:18">
      <c r="A41" s="78" t="s">
        <v>103</v>
      </c>
      <c r="B41" s="2" t="s">
        <v>22</v>
      </c>
      <c r="C41" s="76">
        <f>H13*(1+C13)</f>
        <v>61.95</v>
      </c>
      <c r="D41" s="15">
        <f>C41*(1+$C$43)</f>
        <v>65.202375000000004</v>
      </c>
      <c r="E41" s="15">
        <f t="shared" ref="E41:F41" si="17">D41*(1+$C$43)</f>
        <v>68.625499687499996</v>
      </c>
      <c r="F41" s="15">
        <f t="shared" si="17"/>
        <v>72.228338421093738</v>
      </c>
      <c r="H41" s="228" t="s">
        <v>49</v>
      </c>
    </row>
    <row r="42" spans="1:18" ht="15.6" customHeight="1">
      <c r="A42" s="78" t="s">
        <v>104</v>
      </c>
      <c r="B42" s="2" t="s">
        <v>23</v>
      </c>
      <c r="C42" s="76">
        <f>H14*(1-C14)</f>
        <v>17.099999999999998</v>
      </c>
      <c r="D42" s="15">
        <f>C42*(1+$C$44)</f>
        <v>17.655749999999998</v>
      </c>
      <c r="E42" s="15">
        <f t="shared" ref="E42:F42" si="18">D42*(1+$C$44)</f>
        <v>18.229561874999998</v>
      </c>
      <c r="F42" s="15">
        <f t="shared" si="18"/>
        <v>18.822022635937497</v>
      </c>
      <c r="H42" s="365" t="s">
        <v>50</v>
      </c>
      <c r="I42" s="365"/>
      <c r="J42" s="365"/>
      <c r="K42" s="365"/>
      <c r="L42" s="365"/>
      <c r="M42" s="365"/>
      <c r="N42" s="38"/>
      <c r="O42" s="38"/>
      <c r="P42" s="38"/>
      <c r="Q42" s="38"/>
      <c r="R42" s="38"/>
    </row>
    <row r="43" spans="1:18">
      <c r="A43" s="78" t="s">
        <v>103</v>
      </c>
      <c r="B43" s="16" t="s">
        <v>101</v>
      </c>
      <c r="C43" s="21">
        <f>G17+G15+C15</f>
        <v>5.2500000000000005E-2</v>
      </c>
      <c r="D43" s="2"/>
      <c r="E43" s="2"/>
      <c r="F43" s="2"/>
      <c r="H43" s="365"/>
      <c r="I43" s="365"/>
      <c r="J43" s="365"/>
      <c r="K43" s="365"/>
      <c r="L43" s="365"/>
      <c r="M43" s="365"/>
    </row>
    <row r="44" spans="1:18">
      <c r="A44" s="78" t="s">
        <v>104</v>
      </c>
      <c r="B44" s="16" t="s">
        <v>102</v>
      </c>
      <c r="C44" s="21">
        <f>G17+G16-C16</f>
        <v>3.2500000000000001E-2</v>
      </c>
      <c r="D44" s="2"/>
      <c r="E44" s="2"/>
      <c r="F44" s="2"/>
    </row>
    <row r="45" spans="1:18">
      <c r="B45" s="2"/>
      <c r="C45" s="61" t="s">
        <v>8</v>
      </c>
      <c r="D45" s="61" t="s">
        <v>9</v>
      </c>
      <c r="E45" s="61" t="s">
        <v>10</v>
      </c>
      <c r="F45" s="61" t="s">
        <v>11</v>
      </c>
      <c r="H45" s="25" t="s">
        <v>31</v>
      </c>
      <c r="I45" s="25"/>
      <c r="J45" s="39">
        <f>C52</f>
        <v>9900000</v>
      </c>
      <c r="K45" s="25"/>
      <c r="L45" s="37"/>
    </row>
    <row r="46" spans="1:18">
      <c r="A46" s="78" t="s">
        <v>104</v>
      </c>
      <c r="B46" s="2" t="s">
        <v>91</v>
      </c>
      <c r="C46" s="6">
        <f>G18*(1-C18)</f>
        <v>22500000</v>
      </c>
      <c r="D46" s="14">
        <f>C46*(1+$G$17)</f>
        <v>23231250</v>
      </c>
      <c r="E46" s="14">
        <f t="shared" ref="E46:F46" si="19">D46*(1+$G$17)</f>
        <v>23986265.625</v>
      </c>
      <c r="F46" s="14">
        <f t="shared" si="19"/>
        <v>24765819.2578125</v>
      </c>
      <c r="H46" s="25" t="s">
        <v>51</v>
      </c>
      <c r="I46" s="25"/>
      <c r="J46" s="7">
        <f>C53</f>
        <v>0.12</v>
      </c>
      <c r="K46" s="25" t="s">
        <v>52</v>
      </c>
      <c r="L46" s="37"/>
    </row>
    <row r="47" spans="1:18">
      <c r="A47" s="78" t="s">
        <v>104</v>
      </c>
      <c r="B47" s="2" t="s">
        <v>81</v>
      </c>
      <c r="C47" s="6">
        <f>G19*(1-C19)</f>
        <v>108000000</v>
      </c>
      <c r="D47" s="2"/>
      <c r="E47" s="2"/>
      <c r="F47" s="2"/>
      <c r="H47" s="25"/>
      <c r="I47" s="25"/>
      <c r="J47" s="40" t="s">
        <v>8</v>
      </c>
      <c r="K47" s="40" t="s">
        <v>9</v>
      </c>
      <c r="L47" s="40" t="s">
        <v>10</v>
      </c>
      <c r="M47" s="40" t="s">
        <v>11</v>
      </c>
    </row>
    <row r="48" spans="1:18">
      <c r="B48" s="2" t="s">
        <v>7</v>
      </c>
      <c r="C48" s="6">
        <f>G20</f>
        <v>51000000</v>
      </c>
      <c r="D48" s="2"/>
      <c r="E48" s="24"/>
      <c r="F48" s="24"/>
      <c r="H48" s="25" t="s">
        <v>53</v>
      </c>
      <c r="I48" s="25"/>
      <c r="J48" s="25"/>
      <c r="K48" s="25"/>
      <c r="L48" s="25"/>
    </row>
    <row r="49" spans="1:19">
      <c r="A49" s="3" t="s">
        <v>29</v>
      </c>
      <c r="B49" s="2" t="s">
        <v>28</v>
      </c>
      <c r="C49" s="13">
        <v>0.1429</v>
      </c>
      <c r="D49" s="13">
        <v>0.24490000000000001</v>
      </c>
      <c r="E49" s="13">
        <v>0.1749</v>
      </c>
      <c r="F49" s="13">
        <v>0.1249</v>
      </c>
      <c r="H49" s="25" t="s">
        <v>54</v>
      </c>
      <c r="I49" s="25"/>
      <c r="J49" s="39">
        <f>J45</f>
        <v>9900000</v>
      </c>
      <c r="K49" s="39">
        <f>J50</f>
        <v>16113686.399999999</v>
      </c>
      <c r="L49" s="39">
        <f>K50</f>
        <v>17492964.567120001</v>
      </c>
      <c r="M49" s="42">
        <f>L50</f>
        <v>18990396.100125451</v>
      </c>
    </row>
    <row r="50" spans="1:19">
      <c r="B50" s="2" t="s">
        <v>30</v>
      </c>
      <c r="C50" s="6">
        <f>$C$47*C49</f>
        <v>15433200</v>
      </c>
      <c r="D50" s="6">
        <f t="shared" ref="D50:F50" si="20">$C$47*D49</f>
        <v>26449200</v>
      </c>
      <c r="E50" s="6">
        <f t="shared" si="20"/>
        <v>18889200</v>
      </c>
      <c r="F50" s="6">
        <f t="shared" si="20"/>
        <v>13489200</v>
      </c>
      <c r="H50" s="25" t="s">
        <v>55</v>
      </c>
      <c r="I50" s="25"/>
      <c r="J50" s="41">
        <f>$J$46*I28</f>
        <v>16113686.399999999</v>
      </c>
      <c r="K50" s="41">
        <f>$J$46*J28</f>
        <v>17492964.567120001</v>
      </c>
      <c r="L50" s="41">
        <f>$J$46*K28</f>
        <v>18990396.100125451</v>
      </c>
      <c r="M50" s="41">
        <v>0</v>
      </c>
    </row>
    <row r="51" spans="1:19">
      <c r="B51" s="2" t="s">
        <v>1</v>
      </c>
      <c r="C51" s="5">
        <v>4</v>
      </c>
      <c r="D51" s="2"/>
      <c r="E51" s="2"/>
      <c r="F51" s="2"/>
      <c r="H51" s="25" t="s">
        <v>56</v>
      </c>
      <c r="I51" s="25"/>
      <c r="J51" s="173">
        <f>J49-J50</f>
        <v>-6213686.3999999985</v>
      </c>
      <c r="K51" s="173">
        <f t="shared" ref="K51:M51" si="21">K49-K50</f>
        <v>-1379278.1671200022</v>
      </c>
      <c r="L51" s="173">
        <f t="shared" si="21"/>
        <v>-1497431.5330054499</v>
      </c>
      <c r="M51" s="173">
        <f t="shared" si="21"/>
        <v>18990396.100125451</v>
      </c>
    </row>
    <row r="52" spans="1:19">
      <c r="B52" s="26" t="s">
        <v>31</v>
      </c>
      <c r="C52" s="27">
        <f>G21*(1-C21)</f>
        <v>9900000</v>
      </c>
      <c r="D52" s="26"/>
      <c r="E52" s="26"/>
      <c r="F52" s="26"/>
    </row>
    <row r="53" spans="1:19">
      <c r="B53" s="2" t="s">
        <v>33</v>
      </c>
      <c r="C53" s="23">
        <f>G22-C22</f>
        <v>0.12</v>
      </c>
      <c r="D53" s="2" t="s">
        <v>32</v>
      </c>
      <c r="E53" s="2"/>
      <c r="F53" s="2"/>
      <c r="H53" s="155" t="s">
        <v>63</v>
      </c>
    </row>
    <row r="54" spans="1:19" ht="15.6" customHeight="1">
      <c r="B54" s="2"/>
      <c r="C54" s="5"/>
      <c r="D54" s="2"/>
      <c r="E54" s="2"/>
      <c r="F54" s="2"/>
      <c r="H54" s="365" t="s">
        <v>64</v>
      </c>
      <c r="I54" s="365"/>
      <c r="J54" s="365"/>
      <c r="K54" s="365"/>
      <c r="L54" s="365"/>
      <c r="M54" s="365"/>
      <c r="N54" s="365"/>
      <c r="O54" s="47"/>
      <c r="P54" s="47"/>
      <c r="Q54" s="47"/>
      <c r="R54" s="47"/>
      <c r="S54" s="47"/>
    </row>
    <row r="55" spans="1:19">
      <c r="B55" s="2" t="s">
        <v>2</v>
      </c>
      <c r="C55" s="12">
        <v>0.159</v>
      </c>
      <c r="D55" s="2"/>
      <c r="E55" s="2"/>
      <c r="F55" s="2"/>
      <c r="H55" s="25" t="s">
        <v>57</v>
      </c>
      <c r="I55" s="25"/>
      <c r="J55" s="39">
        <f>C47</f>
        <v>108000000</v>
      </c>
      <c r="K55" s="43"/>
      <c r="L55" s="44"/>
      <c r="M55" s="37"/>
    </row>
    <row r="56" spans="1:19">
      <c r="B56" s="2" t="s">
        <v>3</v>
      </c>
      <c r="C56" s="7">
        <v>0.21</v>
      </c>
      <c r="D56" s="2"/>
      <c r="E56" s="2"/>
      <c r="F56" s="2"/>
      <c r="H56" s="37"/>
      <c r="I56" s="37"/>
      <c r="J56" s="40" t="s">
        <v>8</v>
      </c>
      <c r="K56" s="40" t="s">
        <v>9</v>
      </c>
      <c r="L56" s="40" t="s">
        <v>10</v>
      </c>
      <c r="M56" s="40" t="s">
        <v>11</v>
      </c>
      <c r="O56" s="48"/>
    </row>
    <row r="57" spans="1:19">
      <c r="B57" s="2"/>
      <c r="C57" s="79"/>
      <c r="D57" s="2"/>
      <c r="E57" s="2"/>
      <c r="F57" s="2"/>
      <c r="H57" s="25" t="s">
        <v>58</v>
      </c>
      <c r="I57" s="25"/>
      <c r="J57" s="39">
        <f>J55</f>
        <v>108000000</v>
      </c>
      <c r="K57" s="39">
        <f>J59</f>
        <v>92566800</v>
      </c>
      <c r="L57" s="39">
        <f>K59</f>
        <v>66117600</v>
      </c>
      <c r="M57" s="39">
        <f t="shared" ref="M57" si="22">L59</f>
        <v>47228400</v>
      </c>
    </row>
    <row r="58" spans="1:19">
      <c r="B58" s="16"/>
      <c r="C58" s="80"/>
      <c r="H58" s="25" t="s">
        <v>35</v>
      </c>
      <c r="I58" s="25"/>
      <c r="J58" s="45">
        <f>I33</f>
        <v>15433200</v>
      </c>
      <c r="K58" s="45">
        <f t="shared" ref="K58:M58" si="23">J33</f>
        <v>26449200</v>
      </c>
      <c r="L58" s="45">
        <f t="shared" si="23"/>
        <v>18889200</v>
      </c>
      <c r="M58" s="45">
        <f t="shared" si="23"/>
        <v>13489200</v>
      </c>
    </row>
    <row r="59" spans="1:19">
      <c r="B59" s="16"/>
      <c r="C59" s="81"/>
      <c r="H59" s="25" t="s">
        <v>59</v>
      </c>
      <c r="I59" s="25"/>
      <c r="J59" s="45">
        <f>J57-J58</f>
        <v>92566800</v>
      </c>
      <c r="K59" s="45">
        <f>K57-K58</f>
        <v>66117600</v>
      </c>
      <c r="L59" s="45">
        <f>L57-L58</f>
        <v>47228400</v>
      </c>
      <c r="M59" s="45">
        <f t="shared" ref="M59" si="24">M57-M58</f>
        <v>33739200</v>
      </c>
    </row>
    <row r="60" spans="1:19">
      <c r="H60" s="25"/>
      <c r="I60" s="25"/>
      <c r="J60" s="45"/>
      <c r="K60" s="45"/>
      <c r="L60" s="45"/>
      <c r="M60" s="45"/>
    </row>
    <row r="61" spans="1:19">
      <c r="H61" s="25" t="s">
        <v>7</v>
      </c>
      <c r="I61" s="25"/>
      <c r="J61" s="39">
        <f>C48</f>
        <v>51000000</v>
      </c>
      <c r="K61" s="25" t="s">
        <v>60</v>
      </c>
      <c r="L61" s="25"/>
      <c r="M61" s="39">
        <f>M59</f>
        <v>33739200</v>
      </c>
    </row>
    <row r="62" spans="1:19">
      <c r="H62" s="25" t="s">
        <v>65</v>
      </c>
      <c r="I62" s="25"/>
      <c r="J62" s="39"/>
      <c r="K62" s="25"/>
      <c r="L62" s="25"/>
      <c r="M62" s="39"/>
    </row>
    <row r="63" spans="1:19">
      <c r="G63" s="17">
        <v>0.21</v>
      </c>
      <c r="H63" s="25" t="s">
        <v>61</v>
      </c>
      <c r="I63" s="25"/>
      <c r="J63" s="46">
        <f>(J61-M61)*C56</f>
        <v>3624768</v>
      </c>
      <c r="K63" s="39"/>
      <c r="L63" s="49"/>
      <c r="M63" s="25"/>
    </row>
    <row r="64" spans="1:19">
      <c r="H64" s="25" t="s">
        <v>62</v>
      </c>
      <c r="I64" s="25"/>
      <c r="J64" s="173">
        <f>J61-J63</f>
        <v>47375232</v>
      </c>
      <c r="K64" s="25"/>
      <c r="L64" s="25"/>
      <c r="M64" s="25"/>
    </row>
    <row r="65" spans="1:16">
      <c r="H65" s="25"/>
      <c r="I65" s="25"/>
      <c r="J65" s="53"/>
      <c r="K65" s="25"/>
      <c r="L65" s="25"/>
      <c r="M65" s="25"/>
    </row>
    <row r="67" spans="1:16" ht="15.6" customHeight="1">
      <c r="G67" s="38"/>
      <c r="H67" s="155" t="s">
        <v>73</v>
      </c>
      <c r="I67" s="38"/>
      <c r="J67" s="38"/>
      <c r="K67" s="38"/>
      <c r="L67" s="38"/>
      <c r="M67" s="38"/>
      <c r="N67" s="38"/>
      <c r="O67" s="38"/>
      <c r="P67" s="38"/>
    </row>
    <row r="68" spans="1:16">
      <c r="G68" s="25"/>
      <c r="H68" s="55" t="s">
        <v>66</v>
      </c>
      <c r="I68" s="25"/>
      <c r="J68" s="25"/>
      <c r="K68" s="25"/>
      <c r="L68" s="25"/>
      <c r="M68" s="25"/>
      <c r="N68" s="25"/>
      <c r="O68" s="25"/>
      <c r="P68" s="25"/>
    </row>
    <row r="69" spans="1:16" ht="16.2" thickBot="1">
      <c r="G69" s="25"/>
      <c r="H69" s="54"/>
      <c r="I69" s="25"/>
      <c r="J69" s="25"/>
      <c r="K69" s="25"/>
      <c r="L69" s="25"/>
      <c r="M69" s="25"/>
      <c r="N69" s="25"/>
      <c r="O69" s="25"/>
      <c r="P69" s="25"/>
    </row>
    <row r="70" spans="1:16">
      <c r="F70" s="25"/>
      <c r="H70" s="208"/>
      <c r="I70" s="209"/>
      <c r="J70" s="271" t="s">
        <v>67</v>
      </c>
      <c r="K70" s="271" t="s">
        <v>8</v>
      </c>
      <c r="L70" s="271" t="s">
        <v>9</v>
      </c>
      <c r="M70" s="271" t="s">
        <v>10</v>
      </c>
      <c r="N70" s="272" t="s">
        <v>11</v>
      </c>
      <c r="O70" s="40"/>
      <c r="P70" s="25"/>
    </row>
    <row r="71" spans="1:16">
      <c r="F71" s="25"/>
      <c r="H71" s="212" t="s">
        <v>68</v>
      </c>
      <c r="I71" s="213"/>
      <c r="J71" s="213"/>
      <c r="K71" s="273">
        <f>I38</f>
        <v>56856628.799999997</v>
      </c>
      <c r="L71" s="273">
        <f t="shared" ref="L71:N71" si="25">J38</f>
        <v>65398893.753060013</v>
      </c>
      <c r="M71" s="273">
        <f t="shared" si="25"/>
        <v>70650029.578197956</v>
      </c>
      <c r="N71" s="274">
        <f t="shared" si="25"/>
        <v>77020861.265448302</v>
      </c>
      <c r="O71" s="39"/>
      <c r="P71" s="25"/>
    </row>
    <row r="72" spans="1:16">
      <c r="F72" s="25"/>
      <c r="H72" s="212" t="s">
        <v>69</v>
      </c>
      <c r="I72" s="213"/>
      <c r="J72" s="273">
        <f>-J55</f>
        <v>-108000000</v>
      </c>
      <c r="K72" s="273"/>
      <c r="L72" s="273"/>
      <c r="M72" s="273"/>
      <c r="N72" s="274">
        <f>J64</f>
        <v>47375232</v>
      </c>
      <c r="O72" s="39"/>
      <c r="P72" s="25"/>
    </row>
    <row r="73" spans="1:16">
      <c r="F73" s="25"/>
      <c r="H73" s="212" t="s">
        <v>53</v>
      </c>
      <c r="I73" s="213"/>
      <c r="J73" s="216">
        <f>-J45</f>
        <v>-9900000</v>
      </c>
      <c r="K73" s="273">
        <f>J51</f>
        <v>-6213686.3999999985</v>
      </c>
      <c r="L73" s="273">
        <f t="shared" ref="L73:N73" si="26">K51</f>
        <v>-1379278.1671200022</v>
      </c>
      <c r="M73" s="273">
        <f t="shared" si="26"/>
        <v>-1497431.5330054499</v>
      </c>
      <c r="N73" s="274">
        <f t="shared" si="26"/>
        <v>18990396.100125451</v>
      </c>
      <c r="O73" s="5"/>
      <c r="P73" s="25"/>
    </row>
    <row r="74" spans="1:16" ht="16.2" thickBot="1">
      <c r="F74" s="25"/>
      <c r="H74" s="219" t="s">
        <v>70</v>
      </c>
      <c r="I74" s="220"/>
      <c r="J74" s="221">
        <f>SUM(J71:J73)</f>
        <v>-117900000</v>
      </c>
      <c r="K74" s="221">
        <f>SUM(K71:K73)</f>
        <v>50642942.399999999</v>
      </c>
      <c r="L74" s="221">
        <f t="shared" ref="L74:N74" si="27">SUM(L71:L73)</f>
        <v>64019615.585940011</v>
      </c>
      <c r="M74" s="221">
        <f t="shared" si="27"/>
        <v>69152598.04519251</v>
      </c>
      <c r="N74" s="222">
        <f t="shared" si="27"/>
        <v>143386489.36557376</v>
      </c>
      <c r="O74" s="39"/>
      <c r="P74" s="25"/>
    </row>
    <row r="75" spans="1:16" ht="16.2" thickBot="1">
      <c r="F75" s="25"/>
      <c r="H75" s="25"/>
      <c r="I75" s="25"/>
      <c r="J75" s="25"/>
      <c r="K75" s="25"/>
      <c r="L75" s="25"/>
      <c r="M75" s="25"/>
      <c r="N75" s="25"/>
      <c r="O75" s="25"/>
      <c r="P75" s="25"/>
    </row>
    <row r="76" spans="1:16" ht="16.2" thickBot="1">
      <c r="F76" s="25"/>
      <c r="G76" s="58">
        <f>C55</f>
        <v>0.159</v>
      </c>
      <c r="H76" s="223" t="s">
        <v>71</v>
      </c>
      <c r="I76" s="275">
        <f>NPV(G76,K74:N74)+J74</f>
        <v>97337177.534140021</v>
      </c>
      <c r="K76" s="52" t="s">
        <v>74</v>
      </c>
      <c r="L76" s="25"/>
      <c r="M76" s="25"/>
      <c r="N76" s="25"/>
      <c r="O76" s="25"/>
      <c r="P76" s="25"/>
    </row>
    <row r="77" spans="1:16" ht="16.2" thickBot="1">
      <c r="F77" s="25"/>
      <c r="I77" s="59"/>
      <c r="J77" s="25"/>
      <c r="K77" s="25"/>
      <c r="L77" s="39"/>
      <c r="M77" s="25"/>
      <c r="N77" s="25"/>
      <c r="O77" s="25"/>
      <c r="P77" s="25"/>
    </row>
    <row r="78" spans="1:16" ht="16.2" thickBot="1">
      <c r="F78" s="25"/>
      <c r="H78" s="223" t="s">
        <v>72</v>
      </c>
      <c r="I78" s="225">
        <f>IRR(J74:N74)</f>
        <v>0.46304754441684293</v>
      </c>
      <c r="J78" s="25"/>
      <c r="K78" s="25"/>
      <c r="L78" s="25"/>
      <c r="M78" s="25"/>
      <c r="N78" s="25"/>
      <c r="O78" s="25"/>
      <c r="P78" s="25"/>
    </row>
    <row r="79" spans="1:16">
      <c r="A79" s="117"/>
    </row>
    <row r="80" spans="1:16" ht="15.6" customHeight="1">
      <c r="A80" s="118"/>
      <c r="B80" s="118"/>
      <c r="C80" s="118"/>
      <c r="D80" s="118"/>
      <c r="E80" s="118"/>
      <c r="F80" s="118"/>
      <c r="G80" s="118"/>
      <c r="H80" s="119"/>
      <c r="I80" s="119"/>
      <c r="J80" s="119"/>
      <c r="K80" s="119"/>
      <c r="L80" s="119"/>
      <c r="M80" s="119"/>
      <c r="N80" s="119"/>
    </row>
    <row r="81" spans="1:14">
      <c r="H81" s="82"/>
      <c r="I81" s="82"/>
      <c r="J81" s="82"/>
      <c r="K81" s="82"/>
      <c r="L81" s="82"/>
      <c r="M81" s="82"/>
      <c r="N81" s="82"/>
    </row>
    <row r="82" spans="1:14">
      <c r="A82" s="155" t="s">
        <v>47</v>
      </c>
      <c r="H82" s="155" t="s">
        <v>48</v>
      </c>
    </row>
    <row r="83" spans="1:14" ht="18">
      <c r="A83" s="29"/>
      <c r="B83" s="2"/>
      <c r="C83" s="229" t="s">
        <v>105</v>
      </c>
      <c r="H83" s="375" t="s">
        <v>43</v>
      </c>
      <c r="I83" s="375"/>
      <c r="J83" s="375"/>
      <c r="K83" s="375"/>
      <c r="L83" s="375"/>
    </row>
    <row r="84" spans="1:14" ht="28.8" customHeight="1">
      <c r="A84" s="366" t="s">
        <v>16</v>
      </c>
      <c r="B84" s="366"/>
      <c r="C84" s="156" t="s">
        <v>8</v>
      </c>
      <c r="D84" s="156" t="s">
        <v>9</v>
      </c>
      <c r="E84" s="156" t="s">
        <v>10</v>
      </c>
      <c r="F84" s="156" t="s">
        <v>11</v>
      </c>
      <c r="I84" s="165" t="s">
        <v>8</v>
      </c>
      <c r="J84" s="165" t="s">
        <v>9</v>
      </c>
      <c r="K84" s="165" t="s">
        <v>10</v>
      </c>
      <c r="L84" s="165" t="s">
        <v>11</v>
      </c>
    </row>
    <row r="85" spans="1:14">
      <c r="A85" s="78" t="s">
        <v>104</v>
      </c>
      <c r="B85" s="8" t="s">
        <v>24</v>
      </c>
      <c r="C85" s="4">
        <f>G10*(1-C10)</f>
        <v>1859999.9999999998</v>
      </c>
      <c r="D85" s="14">
        <f>C85*(1+$C$86)</f>
        <v>1887899.9999999995</v>
      </c>
      <c r="E85" s="14">
        <f t="shared" ref="E85:F85" si="28">D85*(1+$C$86)</f>
        <v>1916218.4999999993</v>
      </c>
      <c r="F85" s="14">
        <f t="shared" si="28"/>
        <v>1944961.7774999992</v>
      </c>
      <c r="H85" s="33" t="s">
        <v>40</v>
      </c>
      <c r="I85" s="6">
        <f>C90*C91</f>
        <v>25444799.999999996</v>
      </c>
      <c r="J85" s="6">
        <f t="shared" ref="J85" si="29">D90*D91</f>
        <v>26665832.339999992</v>
      </c>
      <c r="K85" s="6">
        <f t="shared" ref="K85" si="30">E90*E91</f>
        <v>27945458.969415739</v>
      </c>
      <c r="L85" s="6">
        <f t="shared" ref="L85" si="31">F90*F91</f>
        <v>29286491.681710571</v>
      </c>
    </row>
    <row r="86" spans="1:14">
      <c r="A86" s="78" t="s">
        <v>104</v>
      </c>
      <c r="B86" s="8" t="s">
        <v>12</v>
      </c>
      <c r="C86" s="12">
        <f>G11-C11</f>
        <v>1.5000000000000001E-2</v>
      </c>
      <c r="D86" s="2"/>
      <c r="E86" s="2"/>
      <c r="F86" s="2"/>
      <c r="H86" s="33" t="s">
        <v>41</v>
      </c>
      <c r="I86" s="6">
        <f>C99*C100</f>
        <v>58381680</v>
      </c>
      <c r="J86" s="6">
        <f t="shared" ref="J86" si="32">D99*D100</f>
        <v>60881875.445999995</v>
      </c>
      <c r="K86" s="6">
        <f t="shared" ref="K86" si="33">E99*E100</f>
        <v>63489141.761974938</v>
      </c>
      <c r="L86" s="6">
        <f t="shared" ref="L86" si="34">F99*F100</f>
        <v>66208064.25793153</v>
      </c>
    </row>
    <row r="87" spans="1:14">
      <c r="A87" s="78" t="s">
        <v>104</v>
      </c>
      <c r="B87" s="9" t="s">
        <v>13</v>
      </c>
      <c r="C87" s="1">
        <f>G12-C12</f>
        <v>0.1</v>
      </c>
      <c r="D87" s="2"/>
      <c r="E87" s="2"/>
      <c r="F87" s="2"/>
      <c r="H87" s="34" t="s">
        <v>42</v>
      </c>
      <c r="I87" s="169">
        <f>SUM(I85:I86)</f>
        <v>83826480</v>
      </c>
      <c r="J87" s="169">
        <f t="shared" ref="J87:L87" si="35">SUM(J85:J86)</f>
        <v>87547707.785999984</v>
      </c>
      <c r="K87" s="169">
        <f t="shared" si="35"/>
        <v>91434600.731390685</v>
      </c>
      <c r="L87" s="169">
        <f t="shared" si="35"/>
        <v>95494555.939642102</v>
      </c>
    </row>
    <row r="88" spans="1:14">
      <c r="B88" s="2" t="s">
        <v>25</v>
      </c>
      <c r="C88" s="14">
        <f>C85*$C$87</f>
        <v>186000</v>
      </c>
      <c r="D88" s="14">
        <f>D85*$C$87</f>
        <v>188789.99999999997</v>
      </c>
      <c r="E88" s="14">
        <f t="shared" ref="E88:F88" si="36">E85*$C$87</f>
        <v>191621.84999999995</v>
      </c>
      <c r="F88" s="14">
        <f t="shared" si="36"/>
        <v>194496.17774999992</v>
      </c>
      <c r="H88" s="33" t="s">
        <v>44</v>
      </c>
      <c r="I88" s="6">
        <f>C90*C92</f>
        <v>14061600.000000002</v>
      </c>
      <c r="J88" s="6">
        <f t="shared" ref="J88" si="37">D90*D92</f>
        <v>15021831.509999998</v>
      </c>
      <c r="K88" s="6">
        <f t="shared" ref="K88" si="38">E90*E92</f>
        <v>16047634.829239123</v>
      </c>
      <c r="L88" s="6">
        <f t="shared" ref="L88" si="39">F90*F92</f>
        <v>17143487.692640785</v>
      </c>
    </row>
    <row r="89" spans="1:14">
      <c r="B89" s="8" t="s">
        <v>26</v>
      </c>
      <c r="C89" s="4">
        <v>4</v>
      </c>
      <c r="D89" s="22"/>
      <c r="E89" s="22"/>
      <c r="F89" s="22"/>
      <c r="H89" s="33" t="s">
        <v>45</v>
      </c>
      <c r="I89" s="6">
        <f>C99*C101</f>
        <v>19686240.000000004</v>
      </c>
      <c r="J89" s="6">
        <f t="shared" ref="J89" si="40">D99*D101</f>
        <v>20926965.276000001</v>
      </c>
      <c r="K89" s="6">
        <f t="shared" ref="K89" si="41">E99*E101</f>
        <v>22245887.2625199</v>
      </c>
      <c r="L89" s="6">
        <f t="shared" ref="L89" si="42">F99*F101</f>
        <v>23647934.307240218</v>
      </c>
    </row>
    <row r="90" spans="1:14">
      <c r="B90" s="30" t="s">
        <v>27</v>
      </c>
      <c r="C90" s="163">
        <f>C88*$C$89</f>
        <v>744000</v>
      </c>
      <c r="D90" s="163">
        <f t="shared" ref="D90:F90" si="43">D88*$C$89</f>
        <v>755159.99999999988</v>
      </c>
      <c r="E90" s="163">
        <f t="shared" si="43"/>
        <v>766487.39999999979</v>
      </c>
      <c r="F90" s="163">
        <f t="shared" si="43"/>
        <v>777984.71099999966</v>
      </c>
      <c r="H90" s="35" t="s">
        <v>46</v>
      </c>
      <c r="I90" s="169">
        <f>SUM(I88:I89)</f>
        <v>33747840.000000007</v>
      </c>
      <c r="J90" s="169">
        <f t="shared" ref="J90:L90" si="44">SUM(J88:J89)</f>
        <v>35948796.785999998</v>
      </c>
      <c r="K90" s="169">
        <f t="shared" si="44"/>
        <v>38293522.091759026</v>
      </c>
      <c r="L90" s="169">
        <f t="shared" si="44"/>
        <v>40791421.999880999</v>
      </c>
    </row>
    <row r="91" spans="1:14">
      <c r="A91" s="78" t="s">
        <v>104</v>
      </c>
      <c r="B91" s="2" t="s">
        <v>22</v>
      </c>
      <c r="C91" s="76">
        <f>G13*(1-C13)</f>
        <v>34.199999999999996</v>
      </c>
      <c r="D91" s="15">
        <f>C91*(1+$C$93)</f>
        <v>35.311499999999995</v>
      </c>
      <c r="E91" s="15">
        <f t="shared" ref="E91:F91" si="45">D91*(1+$C$93)</f>
        <v>36.459123749999996</v>
      </c>
      <c r="F91" s="15">
        <f t="shared" si="45"/>
        <v>37.644045271874994</v>
      </c>
      <c r="H91" s="33" t="s">
        <v>34</v>
      </c>
      <c r="I91" s="6">
        <f>C105</f>
        <v>27500000.000000004</v>
      </c>
      <c r="J91" s="6">
        <f t="shared" ref="J91" si="46">D105</f>
        <v>28393750.000000004</v>
      </c>
      <c r="K91" s="6">
        <f t="shared" ref="K91" si="47">E105</f>
        <v>29316546.875000004</v>
      </c>
      <c r="L91" s="6">
        <f t="shared" ref="L91" si="48">F105</f>
        <v>30269334.648437504</v>
      </c>
    </row>
    <row r="92" spans="1:14">
      <c r="A92" s="78" t="s">
        <v>103</v>
      </c>
      <c r="B92" s="2" t="s">
        <v>23</v>
      </c>
      <c r="C92" s="76">
        <f>G14*(1+C14)</f>
        <v>18.900000000000002</v>
      </c>
      <c r="D92" s="15">
        <f>C92*(1+$C$94)</f>
        <v>19.892250000000001</v>
      </c>
      <c r="E92" s="15">
        <f t="shared" ref="E92:F92" si="49">D92*(1+$C$94)</f>
        <v>20.936593125000002</v>
      </c>
      <c r="F92" s="15">
        <f t="shared" si="49"/>
        <v>22.0357642640625</v>
      </c>
      <c r="H92" s="33" t="s">
        <v>35</v>
      </c>
      <c r="I92" s="6">
        <f>C109</f>
        <v>18862800.000000004</v>
      </c>
      <c r="J92" s="6">
        <f t="shared" ref="J92" si="50">D109</f>
        <v>32326800.000000004</v>
      </c>
      <c r="K92" s="6">
        <f t="shared" ref="K92" si="51">E109</f>
        <v>23086800.000000004</v>
      </c>
      <c r="L92" s="6">
        <f t="shared" ref="L92" si="52">F109</f>
        <v>16486800.000000002</v>
      </c>
    </row>
    <row r="93" spans="1:14">
      <c r="A93" s="78" t="s">
        <v>104</v>
      </c>
      <c r="B93" s="16" t="s">
        <v>101</v>
      </c>
      <c r="C93" s="21">
        <f>G17+G15-C15</f>
        <v>3.2500000000000001E-2</v>
      </c>
      <c r="D93" s="2"/>
      <c r="E93" s="2"/>
      <c r="F93" s="2"/>
      <c r="H93" s="33" t="s">
        <v>36</v>
      </c>
      <c r="I93" s="6">
        <f>I87-I90-I91-I92</f>
        <v>3715839.9999999851</v>
      </c>
      <c r="J93" s="6">
        <f t="shared" ref="J93:L93" si="53">J87-J90-J91-J92</f>
        <v>-9121639.0000000224</v>
      </c>
      <c r="K93" s="6">
        <f t="shared" si="53"/>
        <v>737731.76463165134</v>
      </c>
      <c r="L93" s="6">
        <f t="shared" si="53"/>
        <v>7946999.2913235966</v>
      </c>
    </row>
    <row r="94" spans="1:14">
      <c r="A94" s="78" t="s">
        <v>103</v>
      </c>
      <c r="B94" s="16" t="s">
        <v>102</v>
      </c>
      <c r="C94" s="77">
        <f>G17+G16+C16</f>
        <v>5.2500000000000005E-2</v>
      </c>
      <c r="D94" s="2"/>
      <c r="E94" s="2"/>
      <c r="F94" s="2"/>
      <c r="H94" s="33" t="s">
        <v>39</v>
      </c>
      <c r="I94" s="6">
        <f>I93*$C$115</f>
        <v>780326.39999999688</v>
      </c>
      <c r="J94" s="6">
        <f t="shared" ref="J94:L94" si="54">J93*$C$115</f>
        <v>-1915544.1900000046</v>
      </c>
      <c r="K94" s="6">
        <f t="shared" si="54"/>
        <v>154923.67057264678</v>
      </c>
      <c r="L94" s="6">
        <f t="shared" si="54"/>
        <v>1668869.8511779553</v>
      </c>
    </row>
    <row r="95" spans="1:14">
      <c r="A95" s="371" t="s">
        <v>18</v>
      </c>
      <c r="B95" s="371"/>
      <c r="C95" s="72" t="s">
        <v>8</v>
      </c>
      <c r="D95" s="72" t="s">
        <v>9</v>
      </c>
      <c r="E95" s="72" t="s">
        <v>10</v>
      </c>
      <c r="F95" s="72" t="s">
        <v>11</v>
      </c>
      <c r="H95" s="33" t="s">
        <v>37</v>
      </c>
      <c r="I95" s="6">
        <f>I93-I94</f>
        <v>2935513.5999999885</v>
      </c>
      <c r="J95" s="6">
        <f t="shared" ref="J95" si="55">J93-J94</f>
        <v>-7206094.8100000173</v>
      </c>
      <c r="K95" s="6">
        <f>K93-K94</f>
        <v>582808.09405900456</v>
      </c>
      <c r="L95" s="6">
        <f t="shared" ref="L95" si="56">L93-L94</f>
        <v>6278129.4401456416</v>
      </c>
    </row>
    <row r="96" spans="1:14">
      <c r="A96" s="78" t="s">
        <v>104</v>
      </c>
      <c r="B96" s="8" t="s">
        <v>17</v>
      </c>
      <c r="C96" s="4">
        <f>H10*(1-C10)</f>
        <v>14879999.999999998</v>
      </c>
      <c r="D96" s="14">
        <f>C96*(1+$C$97)</f>
        <v>15028799.999999998</v>
      </c>
      <c r="E96" s="14">
        <f t="shared" ref="E96:F96" si="57">D96*(1+$C$97)</f>
        <v>15179087.999999998</v>
      </c>
      <c r="F96" s="14">
        <f t="shared" si="57"/>
        <v>15330878.879999999</v>
      </c>
      <c r="I96" s="33"/>
      <c r="J96" s="33"/>
      <c r="K96" s="33"/>
      <c r="L96" s="33"/>
    </row>
    <row r="97" spans="1:14">
      <c r="A97" s="78" t="s">
        <v>104</v>
      </c>
      <c r="B97" s="8" t="s">
        <v>12</v>
      </c>
      <c r="C97" s="12">
        <f>H11-C11</f>
        <v>0.01</v>
      </c>
      <c r="D97" s="2"/>
      <c r="E97" s="2"/>
      <c r="F97" s="2"/>
      <c r="H97" s="51" t="s">
        <v>38</v>
      </c>
      <c r="I97" s="170">
        <f>I95+I92</f>
        <v>21798313.599999994</v>
      </c>
      <c r="J97" s="170">
        <f t="shared" ref="J97:L97" si="58">J95+J92</f>
        <v>25120705.189999986</v>
      </c>
      <c r="K97" s="170">
        <f t="shared" si="58"/>
        <v>23669608.094059009</v>
      </c>
      <c r="L97" s="170">
        <f t="shared" si="58"/>
        <v>22764929.440145642</v>
      </c>
    </row>
    <row r="98" spans="1:14">
      <c r="A98" s="78" t="s">
        <v>104</v>
      </c>
      <c r="B98" s="9" t="s">
        <v>13</v>
      </c>
      <c r="C98" s="1">
        <f>H12-C12</f>
        <v>7.0000000000000007E-2</v>
      </c>
      <c r="D98" s="2"/>
      <c r="E98" s="2"/>
      <c r="F98" s="2"/>
    </row>
    <row r="99" spans="1:14">
      <c r="B99" s="30" t="s">
        <v>27</v>
      </c>
      <c r="C99" s="164">
        <f>C96*$C$98</f>
        <v>1041600</v>
      </c>
      <c r="D99" s="164">
        <f t="shared" ref="D99:F99" si="59">D96*$C$98</f>
        <v>1052016</v>
      </c>
      <c r="E99" s="164">
        <f t="shared" si="59"/>
        <v>1062536.1599999999</v>
      </c>
      <c r="F99" s="164">
        <f t="shared" si="59"/>
        <v>1073161.5216000001</v>
      </c>
    </row>
    <row r="100" spans="1:14">
      <c r="A100" s="78" t="s">
        <v>104</v>
      </c>
      <c r="B100" s="2" t="s">
        <v>22</v>
      </c>
      <c r="C100" s="76">
        <f>H13*(1-C13)</f>
        <v>56.05</v>
      </c>
      <c r="D100" s="15">
        <f>C100*(1+$C$102)</f>
        <v>57.871624999999995</v>
      </c>
      <c r="E100" s="15">
        <f t="shared" ref="E100:F100" si="60">D100*(1+$C$102)</f>
        <v>59.752452812499996</v>
      </c>
      <c r="F100" s="15">
        <f t="shared" si="60"/>
        <v>61.694407528906247</v>
      </c>
      <c r="H100" s="29" t="s">
        <v>49</v>
      </c>
    </row>
    <row r="101" spans="1:14">
      <c r="A101" s="78" t="s">
        <v>103</v>
      </c>
      <c r="B101" s="2" t="s">
        <v>23</v>
      </c>
      <c r="C101" s="76">
        <f>H14*(1+C14)</f>
        <v>18.900000000000002</v>
      </c>
      <c r="D101" s="15">
        <f>C101*(1+$C$103)</f>
        <v>19.892250000000001</v>
      </c>
      <c r="E101" s="15">
        <f t="shared" ref="E101:F101" si="61">D101*(1+$C$103)</f>
        <v>20.936593125000002</v>
      </c>
      <c r="F101" s="15">
        <f t="shared" si="61"/>
        <v>22.0357642640625</v>
      </c>
      <c r="H101" s="365" t="s">
        <v>50</v>
      </c>
      <c r="I101" s="365"/>
      <c r="J101" s="365"/>
      <c r="K101" s="365"/>
      <c r="L101" s="365"/>
      <c r="M101" s="365"/>
      <c r="N101" s="38"/>
    </row>
    <row r="102" spans="1:14">
      <c r="A102" s="78" t="s">
        <v>104</v>
      </c>
      <c r="B102" s="16" t="s">
        <v>101</v>
      </c>
      <c r="C102" s="21">
        <f>G17+G15-C15</f>
        <v>3.2500000000000001E-2</v>
      </c>
      <c r="D102" s="2"/>
      <c r="E102" s="2"/>
      <c r="F102" s="2"/>
      <c r="H102" s="365"/>
      <c r="I102" s="365"/>
      <c r="J102" s="365"/>
      <c r="K102" s="365"/>
      <c r="L102" s="365"/>
      <c r="M102" s="365"/>
    </row>
    <row r="103" spans="1:14">
      <c r="A103" s="78" t="s">
        <v>103</v>
      </c>
      <c r="B103" s="16" t="s">
        <v>102</v>
      </c>
      <c r="C103" s="21">
        <f>G17+G16+C16</f>
        <v>5.2500000000000005E-2</v>
      </c>
      <c r="D103" s="2"/>
      <c r="E103" s="2"/>
      <c r="F103" s="2"/>
    </row>
    <row r="104" spans="1:14">
      <c r="B104" s="2"/>
      <c r="C104" s="72" t="s">
        <v>8</v>
      </c>
      <c r="D104" s="72" t="s">
        <v>9</v>
      </c>
      <c r="E104" s="72" t="s">
        <v>10</v>
      </c>
      <c r="F104" s="72" t="s">
        <v>11</v>
      </c>
      <c r="H104" s="25" t="s">
        <v>31</v>
      </c>
      <c r="I104" s="25"/>
      <c r="J104" s="39">
        <f>C111</f>
        <v>12100000.000000002</v>
      </c>
      <c r="K104" s="25"/>
      <c r="L104" s="37"/>
    </row>
    <row r="105" spans="1:14">
      <c r="A105" s="78" t="s">
        <v>103</v>
      </c>
      <c r="B105" s="2" t="s">
        <v>91</v>
      </c>
      <c r="C105" s="6">
        <f>G18*(1+C18)</f>
        <v>27500000.000000004</v>
      </c>
      <c r="D105" s="14">
        <f>C105*(1+$G$17)</f>
        <v>28393750.000000004</v>
      </c>
      <c r="E105" s="14">
        <f t="shared" ref="E105:F105" si="62">D105*(1+$G$17)</f>
        <v>29316546.875000004</v>
      </c>
      <c r="F105" s="14">
        <f t="shared" si="62"/>
        <v>30269334.648437504</v>
      </c>
      <c r="H105" s="25" t="s">
        <v>51</v>
      </c>
      <c r="I105" s="25"/>
      <c r="J105" s="7">
        <f>C112</f>
        <v>0.18</v>
      </c>
      <c r="K105" s="25" t="s">
        <v>52</v>
      </c>
      <c r="L105" s="37"/>
    </row>
    <row r="106" spans="1:14">
      <c r="A106" s="78" t="s">
        <v>103</v>
      </c>
      <c r="B106" s="2" t="s">
        <v>81</v>
      </c>
      <c r="C106" s="6">
        <f>G19*(1+C19)</f>
        <v>132000000.00000001</v>
      </c>
      <c r="D106" s="2"/>
      <c r="E106" s="2"/>
      <c r="F106" s="2"/>
      <c r="H106" s="25"/>
      <c r="I106" s="25"/>
      <c r="J106" s="40" t="s">
        <v>8</v>
      </c>
      <c r="K106" s="40" t="s">
        <v>9</v>
      </c>
      <c r="L106" s="40" t="s">
        <v>10</v>
      </c>
      <c r="M106" s="40" t="s">
        <v>11</v>
      </c>
    </row>
    <row r="107" spans="1:14">
      <c r="B107" s="2" t="s">
        <v>7</v>
      </c>
      <c r="C107" s="6">
        <f>G20</f>
        <v>51000000</v>
      </c>
      <c r="D107" s="2"/>
      <c r="E107" s="24"/>
      <c r="F107" s="24"/>
      <c r="H107" s="25" t="s">
        <v>53</v>
      </c>
      <c r="I107" s="25"/>
      <c r="J107" s="25"/>
      <c r="K107" s="25"/>
      <c r="L107" s="25"/>
    </row>
    <row r="108" spans="1:14">
      <c r="A108" s="3" t="s">
        <v>29</v>
      </c>
      <c r="B108" s="2" t="s">
        <v>28</v>
      </c>
      <c r="C108" s="13">
        <v>0.1429</v>
      </c>
      <c r="D108" s="13">
        <v>0.24490000000000001</v>
      </c>
      <c r="E108" s="13">
        <v>0.1749</v>
      </c>
      <c r="F108" s="13">
        <v>0.1249</v>
      </c>
      <c r="H108" s="25" t="s">
        <v>54</v>
      </c>
      <c r="I108" s="25"/>
      <c r="J108" s="39">
        <f>J104</f>
        <v>12100000.000000002</v>
      </c>
      <c r="K108" s="39">
        <f>J109</f>
        <v>15088766.399999999</v>
      </c>
      <c r="L108" s="39">
        <f>K109</f>
        <v>15758587.401479997</v>
      </c>
      <c r="M108" s="42">
        <f>L109</f>
        <v>16458228.131650323</v>
      </c>
    </row>
    <row r="109" spans="1:14">
      <c r="B109" s="2" t="s">
        <v>30</v>
      </c>
      <c r="C109" s="6">
        <f>$C$106*C108</f>
        <v>18862800.000000004</v>
      </c>
      <c r="D109" s="6">
        <f t="shared" ref="D109:F109" si="63">$C$106*D108</f>
        <v>32326800.000000004</v>
      </c>
      <c r="E109" s="6">
        <f>$C$106*E108</f>
        <v>23086800.000000004</v>
      </c>
      <c r="F109" s="6">
        <f t="shared" si="63"/>
        <v>16486800.000000002</v>
      </c>
      <c r="H109" s="25" t="s">
        <v>55</v>
      </c>
      <c r="I109" s="25"/>
      <c r="J109" s="41">
        <f>$J$105*I87</f>
        <v>15088766.399999999</v>
      </c>
      <c r="K109" s="41">
        <f t="shared" ref="K109:L109" si="64">$J$105*J87</f>
        <v>15758587.401479997</v>
      </c>
      <c r="L109" s="41">
        <f t="shared" si="64"/>
        <v>16458228.131650323</v>
      </c>
      <c r="M109" s="41">
        <v>0</v>
      </c>
    </row>
    <row r="110" spans="1:14">
      <c r="B110" s="2" t="s">
        <v>1</v>
      </c>
      <c r="C110" s="5">
        <v>4</v>
      </c>
      <c r="D110" s="2"/>
      <c r="E110" s="2"/>
      <c r="F110" s="2"/>
      <c r="H110" s="25" t="s">
        <v>56</v>
      </c>
      <c r="I110" s="25"/>
      <c r="J110" s="173">
        <f>J108-J109</f>
        <v>-2988766.3999999966</v>
      </c>
      <c r="K110" s="173">
        <f t="shared" ref="K110:M110" si="65">K108-K109</f>
        <v>-669821.00147999823</v>
      </c>
      <c r="L110" s="173">
        <f t="shared" si="65"/>
        <v>-699640.73017032631</v>
      </c>
      <c r="M110" s="173">
        <f t="shared" si="65"/>
        <v>16458228.131650323</v>
      </c>
    </row>
    <row r="111" spans="1:14">
      <c r="B111" s="26" t="s">
        <v>31</v>
      </c>
      <c r="C111" s="27">
        <f>G21*(1+C21)</f>
        <v>12100000.000000002</v>
      </c>
      <c r="D111" s="26"/>
      <c r="E111" s="26"/>
      <c r="F111" s="26"/>
    </row>
    <row r="112" spans="1:14">
      <c r="B112" s="2" t="s">
        <v>33</v>
      </c>
      <c r="C112" s="23">
        <f>G22+C22</f>
        <v>0.18</v>
      </c>
      <c r="D112" s="2" t="s">
        <v>32</v>
      </c>
      <c r="E112" s="2"/>
      <c r="F112" s="2"/>
      <c r="H112" s="29" t="s">
        <v>63</v>
      </c>
    </row>
    <row r="113" spans="2:14">
      <c r="B113" s="2"/>
      <c r="C113" s="5"/>
      <c r="D113" s="2"/>
      <c r="E113" s="2"/>
      <c r="F113" s="2"/>
      <c r="H113" s="365" t="s">
        <v>64</v>
      </c>
      <c r="I113" s="365"/>
      <c r="J113" s="365"/>
      <c r="K113" s="365"/>
      <c r="L113" s="365"/>
      <c r="M113" s="365"/>
      <c r="N113" s="365"/>
    </row>
    <row r="114" spans="2:14">
      <c r="B114" s="2" t="s">
        <v>2</v>
      </c>
      <c r="C114" s="12">
        <v>0.159</v>
      </c>
      <c r="D114" s="2"/>
      <c r="E114" s="2"/>
      <c r="F114" s="2"/>
      <c r="H114" s="25" t="s">
        <v>57</v>
      </c>
      <c r="I114" s="25"/>
      <c r="J114" s="39">
        <f>C106</f>
        <v>132000000.00000001</v>
      </c>
      <c r="K114" s="43"/>
      <c r="L114" s="44"/>
      <c r="M114" s="37"/>
    </row>
    <row r="115" spans="2:14">
      <c r="B115" s="2" t="s">
        <v>3</v>
      </c>
      <c r="C115" s="7">
        <v>0.21</v>
      </c>
      <c r="D115" s="2"/>
      <c r="E115" s="2"/>
      <c r="F115" s="2"/>
      <c r="H115" s="37"/>
      <c r="I115" s="37"/>
      <c r="J115" s="40" t="s">
        <v>8</v>
      </c>
      <c r="K115" s="40" t="s">
        <v>9</v>
      </c>
      <c r="L115" s="40" t="s">
        <v>10</v>
      </c>
      <c r="M115" s="40" t="s">
        <v>11</v>
      </c>
    </row>
    <row r="116" spans="2:14">
      <c r="B116" s="2"/>
      <c r="C116" s="79"/>
      <c r="D116" s="2"/>
      <c r="E116" s="2"/>
      <c r="F116" s="2"/>
      <c r="H116" s="25" t="s">
        <v>58</v>
      </c>
      <c r="I116" s="25"/>
      <c r="J116" s="39">
        <f>J114</f>
        <v>132000000.00000001</v>
      </c>
      <c r="K116" s="39">
        <f>J118</f>
        <v>113137200.00000001</v>
      </c>
      <c r="L116" s="39">
        <f>K118</f>
        <v>80810400.000000015</v>
      </c>
      <c r="M116" s="39">
        <f t="shared" ref="M116" si="66">L118</f>
        <v>57723600.000000015</v>
      </c>
    </row>
    <row r="117" spans="2:14">
      <c r="B117" s="16"/>
      <c r="C117" s="80"/>
      <c r="H117" s="25" t="s">
        <v>35</v>
      </c>
      <c r="I117" s="25"/>
      <c r="J117" s="45">
        <f>I92</f>
        <v>18862800.000000004</v>
      </c>
      <c r="K117" s="45">
        <f t="shared" ref="K117" si="67">J92</f>
        <v>32326800.000000004</v>
      </c>
      <c r="L117" s="45">
        <f t="shared" ref="L117" si="68">K92</f>
        <v>23086800.000000004</v>
      </c>
      <c r="M117" s="45">
        <f t="shared" ref="M117" si="69">L92</f>
        <v>16486800.000000002</v>
      </c>
    </row>
    <row r="118" spans="2:14">
      <c r="B118" s="16"/>
      <c r="C118" s="81"/>
      <c r="H118" s="25" t="s">
        <v>59</v>
      </c>
      <c r="I118" s="25"/>
      <c r="J118" s="45">
        <f>J116-J117</f>
        <v>113137200.00000001</v>
      </c>
      <c r="K118" s="45">
        <f>K116-K117</f>
        <v>80810400.000000015</v>
      </c>
      <c r="L118" s="45">
        <f>L116-L117</f>
        <v>57723600.000000015</v>
      </c>
      <c r="M118" s="45">
        <f t="shared" ref="M118" si="70">M116-M117</f>
        <v>41236800.000000015</v>
      </c>
    </row>
    <row r="119" spans="2:14">
      <c r="H119" s="25"/>
      <c r="I119" s="25"/>
      <c r="J119" s="45"/>
      <c r="K119" s="45"/>
      <c r="L119" s="45"/>
      <c r="M119" s="45"/>
    </row>
    <row r="120" spans="2:14">
      <c r="H120" s="25" t="s">
        <v>7</v>
      </c>
      <c r="I120" s="25"/>
      <c r="J120" s="39">
        <f>C107</f>
        <v>51000000</v>
      </c>
      <c r="K120" s="25" t="s">
        <v>60</v>
      </c>
      <c r="L120" s="25"/>
      <c r="M120" s="39">
        <f>M118</f>
        <v>41236800.000000015</v>
      </c>
    </row>
    <row r="121" spans="2:14">
      <c r="H121" s="25" t="s">
        <v>65</v>
      </c>
      <c r="I121" s="25"/>
      <c r="J121" s="39"/>
      <c r="K121" s="25"/>
      <c r="L121" s="25"/>
      <c r="M121" s="39"/>
    </row>
    <row r="122" spans="2:14">
      <c r="G122" s="17">
        <v>0.21</v>
      </c>
      <c r="H122" s="25" t="s">
        <v>61</v>
      </c>
      <c r="I122" s="25"/>
      <c r="J122" s="46">
        <f>(J120-M120)*C115</f>
        <v>2050271.9999999967</v>
      </c>
      <c r="K122" s="39"/>
      <c r="L122" s="49"/>
      <c r="M122" s="25"/>
    </row>
    <row r="123" spans="2:14">
      <c r="H123" s="25" t="s">
        <v>62</v>
      </c>
      <c r="I123" s="25"/>
      <c r="J123" s="173">
        <f>J120-J122</f>
        <v>48949728</v>
      </c>
      <c r="K123" s="25"/>
      <c r="L123" s="25"/>
      <c r="M123" s="25"/>
    </row>
    <row r="124" spans="2:14">
      <c r="H124" s="25"/>
      <c r="I124" s="25"/>
      <c r="J124" s="53"/>
      <c r="K124" s="25"/>
      <c r="L124" s="25"/>
      <c r="M124" s="25"/>
    </row>
    <row r="126" spans="2:14">
      <c r="G126" s="38"/>
      <c r="H126" s="29" t="s">
        <v>73</v>
      </c>
      <c r="I126" s="38"/>
      <c r="J126" s="38"/>
      <c r="K126" s="38"/>
      <c r="L126" s="38"/>
      <c r="M126" s="38"/>
      <c r="N126" s="38"/>
    </row>
    <row r="127" spans="2:14">
      <c r="G127" s="25"/>
      <c r="H127" s="55" t="s">
        <v>66</v>
      </c>
      <c r="I127" s="25"/>
      <c r="J127" s="25"/>
      <c r="K127" s="25"/>
      <c r="L127" s="25"/>
      <c r="M127" s="25"/>
      <c r="N127" s="25"/>
    </row>
    <row r="128" spans="2:14" ht="16.2" thickBot="1">
      <c r="G128" s="25"/>
      <c r="H128" s="54"/>
      <c r="I128" s="25"/>
      <c r="J128" s="25"/>
      <c r="K128" s="25"/>
      <c r="L128" s="25"/>
      <c r="M128" s="25"/>
      <c r="N128" s="25"/>
    </row>
    <row r="129" spans="1:14">
      <c r="F129" s="25"/>
      <c r="H129" s="208"/>
      <c r="I129" s="209"/>
      <c r="J129" s="271" t="s">
        <v>67</v>
      </c>
      <c r="K129" s="271" t="s">
        <v>8</v>
      </c>
      <c r="L129" s="271" t="s">
        <v>9</v>
      </c>
      <c r="M129" s="271" t="s">
        <v>10</v>
      </c>
      <c r="N129" s="272" t="s">
        <v>11</v>
      </c>
    </row>
    <row r="130" spans="1:14">
      <c r="F130" s="25"/>
      <c r="H130" s="212" t="s">
        <v>68</v>
      </c>
      <c r="I130" s="213"/>
      <c r="J130" s="213"/>
      <c r="K130" s="273">
        <f>I97</f>
        <v>21798313.599999994</v>
      </c>
      <c r="L130" s="273">
        <f t="shared" ref="L130" si="71">J97</f>
        <v>25120705.189999986</v>
      </c>
      <c r="M130" s="273">
        <f t="shared" ref="M130" si="72">K97</f>
        <v>23669608.094059009</v>
      </c>
      <c r="N130" s="274">
        <f t="shared" ref="N130" si="73">L97</f>
        <v>22764929.440145642</v>
      </c>
    </row>
    <row r="131" spans="1:14">
      <c r="F131" s="25"/>
      <c r="H131" s="212" t="s">
        <v>69</v>
      </c>
      <c r="I131" s="213"/>
      <c r="J131" s="273">
        <f>-J114</f>
        <v>-132000000.00000001</v>
      </c>
      <c r="K131" s="273"/>
      <c r="L131" s="273"/>
      <c r="M131" s="273"/>
      <c r="N131" s="274">
        <f>J123</f>
        <v>48949728</v>
      </c>
    </row>
    <row r="132" spans="1:14">
      <c r="F132" s="25"/>
      <c r="H132" s="212" t="s">
        <v>53</v>
      </c>
      <c r="I132" s="213"/>
      <c r="J132" s="216">
        <f>-J104</f>
        <v>-12100000.000000002</v>
      </c>
      <c r="K132" s="273">
        <f>J110</f>
        <v>-2988766.3999999966</v>
      </c>
      <c r="L132" s="273">
        <f t="shared" ref="L132" si="74">K110</f>
        <v>-669821.00147999823</v>
      </c>
      <c r="M132" s="273">
        <f t="shared" ref="M132" si="75">L110</f>
        <v>-699640.73017032631</v>
      </c>
      <c r="N132" s="274">
        <f t="shared" ref="N132" si="76">M110</f>
        <v>16458228.131650323</v>
      </c>
    </row>
    <row r="133" spans="1:14" ht="16.2" thickBot="1">
      <c r="F133" s="25"/>
      <c r="H133" s="219" t="s">
        <v>70</v>
      </c>
      <c r="I133" s="220"/>
      <c r="J133" s="221">
        <f>SUM(J130:J132)</f>
        <v>-144100000.00000003</v>
      </c>
      <c r="K133" s="221">
        <f>SUM(K130:K132)</f>
        <v>18809547.199999996</v>
      </c>
      <c r="L133" s="221">
        <f t="shared" ref="L133:N133" si="77">SUM(L130:L132)</f>
        <v>24450884.188519988</v>
      </c>
      <c r="M133" s="221">
        <f t="shared" si="77"/>
        <v>22969967.363888681</v>
      </c>
      <c r="N133" s="222">
        <f t="shared" si="77"/>
        <v>88172885.57179597</v>
      </c>
    </row>
    <row r="134" spans="1:14" ht="16.2" thickBot="1">
      <c r="F134" s="25"/>
      <c r="H134" s="25"/>
      <c r="I134" s="25"/>
      <c r="J134" s="25"/>
      <c r="K134" s="25"/>
      <c r="L134" s="25"/>
      <c r="M134" s="25"/>
      <c r="N134" s="25"/>
    </row>
    <row r="135" spans="1:14">
      <c r="F135" s="25"/>
      <c r="G135" s="58">
        <f>C114</f>
        <v>0.159</v>
      </c>
      <c r="H135" s="276" t="s">
        <v>71</v>
      </c>
      <c r="I135" s="278">
        <f>NPV(G135,K133:N133)+J133</f>
        <v>-46049129.376536489</v>
      </c>
      <c r="K135" s="52"/>
      <c r="L135" s="25"/>
      <c r="M135" s="25"/>
      <c r="N135" s="25"/>
    </row>
    <row r="136" spans="1:14" ht="16.2" thickBot="1">
      <c r="F136" s="25"/>
      <c r="H136" s="277" t="s">
        <v>72</v>
      </c>
      <c r="I136" s="279">
        <f>IRR(J133:N133)</f>
        <v>2.2123683266037641E-2</v>
      </c>
      <c r="J136" s="25"/>
      <c r="K136" s="25"/>
      <c r="L136" s="39"/>
      <c r="M136" s="25"/>
      <c r="N136" s="25"/>
    </row>
    <row r="137" spans="1:14">
      <c r="F137" s="25"/>
      <c r="H137" s="52"/>
      <c r="I137" s="60"/>
      <c r="J137" s="25"/>
      <c r="K137" s="25"/>
      <c r="L137" s="39"/>
      <c r="M137" s="25"/>
      <c r="N137" s="25"/>
    </row>
    <row r="138" spans="1:14">
      <c r="F138" s="25"/>
      <c r="H138" s="52"/>
      <c r="I138" s="60"/>
      <c r="J138" s="25"/>
      <c r="K138" s="25"/>
      <c r="L138" s="39"/>
      <c r="M138" s="25"/>
      <c r="N138" s="25"/>
    </row>
    <row r="139" spans="1:14">
      <c r="F139" s="25"/>
      <c r="H139" s="52"/>
      <c r="I139" s="60"/>
      <c r="J139" s="25"/>
      <c r="K139" s="25"/>
      <c r="L139" s="39"/>
      <c r="M139" s="25"/>
      <c r="N139" s="25"/>
    </row>
    <row r="140" spans="1:14">
      <c r="A140" s="120"/>
      <c r="B140" s="120"/>
      <c r="C140" s="120"/>
      <c r="D140" s="120"/>
      <c r="E140" s="120"/>
      <c r="F140" s="121"/>
      <c r="G140" s="120"/>
      <c r="H140" s="120"/>
      <c r="I140" s="120"/>
      <c r="J140" s="121"/>
      <c r="K140" s="121"/>
      <c r="L140" s="121"/>
      <c r="M140" s="121"/>
      <c r="N140" s="121"/>
    </row>
    <row r="141" spans="1:14" ht="16.2" thickBot="1"/>
    <row r="142" spans="1:14">
      <c r="B142" s="285" t="s">
        <v>2</v>
      </c>
      <c r="C142" s="280">
        <v>0.159</v>
      </c>
      <c r="D142" s="281"/>
      <c r="E142" s="281"/>
      <c r="F142" s="290"/>
    </row>
    <row r="143" spans="1:14">
      <c r="B143" s="286" t="s">
        <v>106</v>
      </c>
      <c r="C143" s="230"/>
      <c r="D143" s="230"/>
      <c r="E143" s="231"/>
      <c r="F143" s="291"/>
    </row>
    <row r="144" spans="1:14">
      <c r="B144" s="287"/>
      <c r="C144" s="232"/>
      <c r="D144" s="233" t="s">
        <v>107</v>
      </c>
      <c r="E144" s="233" t="s">
        <v>108</v>
      </c>
      <c r="F144" s="292" t="s">
        <v>109</v>
      </c>
    </row>
    <row r="145" spans="2:6">
      <c r="B145" s="287"/>
      <c r="C145" s="234" t="s">
        <v>71</v>
      </c>
      <c r="D145" s="237">
        <f>I135</f>
        <v>-46049129.376536489</v>
      </c>
      <c r="E145" s="236">
        <v>19125834.624624908</v>
      </c>
      <c r="F145" s="293">
        <f>I76</f>
        <v>97337177.534140021</v>
      </c>
    </row>
    <row r="146" spans="2:6">
      <c r="B146" s="288"/>
      <c r="C146" s="235" t="s">
        <v>72</v>
      </c>
      <c r="D146" s="239">
        <f>I136</f>
        <v>2.2123683266037641E-2</v>
      </c>
      <c r="E146" s="238">
        <v>0.21684330774067972</v>
      </c>
      <c r="F146" s="294">
        <f>I78</f>
        <v>0.46304754441684293</v>
      </c>
    </row>
    <row r="147" spans="2:6" ht="16.2" thickBot="1">
      <c r="B147" s="289"/>
      <c r="C147" s="282" t="s">
        <v>110</v>
      </c>
      <c r="D147" s="283" t="s">
        <v>111</v>
      </c>
      <c r="E147" s="284" t="s">
        <v>112</v>
      </c>
      <c r="F147" s="295" t="s">
        <v>112</v>
      </c>
    </row>
  </sheetData>
  <mergeCells count="23">
    <mergeCell ref="G21:H21"/>
    <mergeCell ref="G22:H22"/>
    <mergeCell ref="G20:H20"/>
    <mergeCell ref="G15:H15"/>
    <mergeCell ref="G16:H16"/>
    <mergeCell ref="G17:H17"/>
    <mergeCell ref="G18:H18"/>
    <mergeCell ref="G19:H19"/>
    <mergeCell ref="B1:D1"/>
    <mergeCell ref="B2:L5"/>
    <mergeCell ref="B6:H7"/>
    <mergeCell ref="B9:C9"/>
    <mergeCell ref="F8:H8"/>
    <mergeCell ref="A95:B95"/>
    <mergeCell ref="H101:M102"/>
    <mergeCell ref="H113:N113"/>
    <mergeCell ref="H24:L24"/>
    <mergeCell ref="A25:B25"/>
    <mergeCell ref="A36:B36"/>
    <mergeCell ref="H42:M43"/>
    <mergeCell ref="H83:L83"/>
    <mergeCell ref="A84:B84"/>
    <mergeCell ref="H54:N54"/>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592EF-FA66-45EE-9EBA-91144AD8B2B7}">
  <dimension ref="A1:S99"/>
  <sheetViews>
    <sheetView showGridLines="0" zoomScale="91" zoomScaleNormal="100" workbookViewId="0">
      <selection activeCell="B26" sqref="B26"/>
    </sheetView>
  </sheetViews>
  <sheetFormatPr defaultColWidth="8.796875" defaultRowHeight="15.6"/>
  <cols>
    <col min="1" max="1" width="11.19921875" style="3" bestFit="1" customWidth="1"/>
    <col min="2" max="2" width="26.296875" style="3" bestFit="1" customWidth="1"/>
    <col min="3" max="3" width="17.796875" style="3" customWidth="1"/>
    <col min="4" max="4" width="15.296875" style="3" bestFit="1" customWidth="1"/>
    <col min="5" max="5" width="17" style="3" bestFit="1" customWidth="1"/>
    <col min="6" max="6" width="14.8984375" style="3" bestFit="1" customWidth="1"/>
    <col min="7" max="7" width="8.796875" style="3"/>
    <col min="8" max="8" width="21.296875" style="3" bestFit="1" customWidth="1"/>
    <col min="9" max="10" width="14.69921875" style="3" bestFit="1" customWidth="1"/>
    <col min="11" max="12" width="14.796875" style="3" bestFit="1" customWidth="1"/>
    <col min="13" max="13" width="13.796875" style="3" bestFit="1" customWidth="1"/>
    <col min="14" max="14" width="13.69921875" style="3" bestFit="1" customWidth="1"/>
    <col min="15" max="15" width="12.3984375" style="3" bestFit="1" customWidth="1"/>
    <col min="16" max="16384" width="8.796875" style="3"/>
  </cols>
  <sheetData>
    <row r="1" spans="1:14" ht="18">
      <c r="A1" s="62"/>
      <c r="B1" s="363" t="s">
        <v>116</v>
      </c>
      <c r="C1" s="363"/>
      <c r="D1" s="363"/>
      <c r="E1" s="296"/>
      <c r="F1" s="296"/>
      <c r="G1" s="296"/>
      <c r="H1" s="296"/>
      <c r="I1" s="296"/>
      <c r="J1" s="296"/>
      <c r="K1" s="154"/>
      <c r="L1" s="154"/>
      <c r="M1" s="154"/>
      <c r="N1" s="154"/>
    </row>
    <row r="2" spans="1:14">
      <c r="A2" s="376" t="s">
        <v>114</v>
      </c>
      <c r="B2" s="376"/>
      <c r="C2" s="376"/>
      <c r="D2" s="376"/>
      <c r="E2" s="376"/>
      <c r="F2" s="376"/>
      <c r="G2" s="376"/>
      <c r="H2" s="297"/>
      <c r="I2" s="297"/>
      <c r="J2" s="297"/>
    </row>
    <row r="3" spans="1:14">
      <c r="A3" s="298"/>
      <c r="B3" s="297"/>
      <c r="C3" s="297"/>
      <c r="D3" s="297"/>
      <c r="E3" s="297"/>
      <c r="F3" s="297"/>
      <c r="G3" s="297"/>
      <c r="H3" s="297"/>
      <c r="I3" s="297"/>
      <c r="J3" s="297"/>
    </row>
    <row r="4" spans="1:14" ht="15.6" customHeight="1">
      <c r="A4" s="388" t="s">
        <v>128</v>
      </c>
      <c r="B4" s="388"/>
      <c r="C4" s="388"/>
      <c r="D4" s="388"/>
      <c r="E4" s="388"/>
      <c r="F4" s="388"/>
      <c r="G4" s="388"/>
      <c r="H4" s="388"/>
      <c r="I4" s="388"/>
      <c r="J4" s="388"/>
    </row>
    <row r="5" spans="1:14">
      <c r="A5" s="388"/>
      <c r="B5" s="388"/>
      <c r="C5" s="388"/>
      <c r="D5" s="388"/>
      <c r="E5" s="388"/>
      <c r="F5" s="388"/>
      <c r="G5" s="388"/>
      <c r="H5" s="388"/>
      <c r="I5" s="388"/>
      <c r="J5" s="388"/>
    </row>
    <row r="6" spans="1:14">
      <c r="A6" s="155" t="s">
        <v>47</v>
      </c>
      <c r="H6" s="155" t="s">
        <v>48</v>
      </c>
    </row>
    <row r="7" spans="1:14">
      <c r="A7" s="29"/>
      <c r="B7" s="2"/>
      <c r="C7" s="157" t="s">
        <v>0</v>
      </c>
      <c r="H7" s="375" t="s">
        <v>43</v>
      </c>
      <c r="I7" s="375"/>
      <c r="J7" s="375"/>
      <c r="K7" s="375"/>
      <c r="L7" s="375"/>
    </row>
    <row r="8" spans="1:14" ht="33" customHeight="1">
      <c r="A8" s="366" t="s">
        <v>16</v>
      </c>
      <c r="B8" s="366"/>
      <c r="C8" s="156" t="s">
        <v>8</v>
      </c>
      <c r="D8" s="156" t="s">
        <v>9</v>
      </c>
      <c r="E8" s="156" t="s">
        <v>10</v>
      </c>
      <c r="F8" s="156" t="s">
        <v>11</v>
      </c>
      <c r="I8" s="165" t="s">
        <v>8</v>
      </c>
      <c r="J8" s="165" t="s">
        <v>9</v>
      </c>
      <c r="K8" s="165" t="s">
        <v>10</v>
      </c>
      <c r="L8" s="165" t="s">
        <v>11</v>
      </c>
    </row>
    <row r="9" spans="1:14">
      <c r="B9" s="159" t="s">
        <v>24</v>
      </c>
      <c r="C9" s="4">
        <v>2000000</v>
      </c>
      <c r="D9" s="14">
        <f>C9*(1+$C$10)</f>
        <v>2049999.9999999998</v>
      </c>
      <c r="E9" s="14">
        <f>D9*(1+$C$10)</f>
        <v>2101249.9999999995</v>
      </c>
      <c r="F9" s="14">
        <f>E9*(1+$C$10)</f>
        <v>2153781.2499999995</v>
      </c>
      <c r="H9" s="166" t="s">
        <v>40</v>
      </c>
      <c r="I9" s="6">
        <f>C14*C15</f>
        <v>31680000</v>
      </c>
      <c r="J9" s="6">
        <f t="shared" ref="J9:L9" si="0">D14*D15</f>
        <v>33852060</v>
      </c>
      <c r="K9" s="6">
        <f t="shared" si="0"/>
        <v>36173041.863749988</v>
      </c>
      <c r="L9" s="6">
        <f t="shared" si="0"/>
        <v>38653156.046533346</v>
      </c>
    </row>
    <row r="10" spans="1:14">
      <c r="B10" s="159" t="s">
        <v>12</v>
      </c>
      <c r="C10" s="12">
        <v>2.5000000000000001E-2</v>
      </c>
      <c r="D10" s="2"/>
      <c r="E10" s="2"/>
      <c r="F10" s="2"/>
      <c r="H10" s="166" t="s">
        <v>41</v>
      </c>
      <c r="I10" s="6">
        <f>C23*C24</f>
        <v>75520000</v>
      </c>
      <c r="J10" s="6">
        <f t="shared" ref="J10:L10" si="1">D23*D24</f>
        <v>80304192</v>
      </c>
      <c r="K10" s="6">
        <f t="shared" si="1"/>
        <v>85391462.563199997</v>
      </c>
      <c r="L10" s="6">
        <f t="shared" si="1"/>
        <v>90801011.716578707</v>
      </c>
    </row>
    <row r="11" spans="1:14">
      <c r="B11" s="160" t="s">
        <v>13</v>
      </c>
      <c r="C11" s="1">
        <v>0.11</v>
      </c>
      <c r="D11" s="2"/>
      <c r="E11" s="2"/>
      <c r="F11" s="2"/>
      <c r="H11" s="167" t="s">
        <v>42</v>
      </c>
      <c r="I11" s="169">
        <f>SUM(I9:I10)</f>
        <v>107200000</v>
      </c>
      <c r="J11" s="169">
        <f t="shared" ref="J11:L11" si="2">SUM(J9:J10)</f>
        <v>114156252</v>
      </c>
      <c r="K11" s="169">
        <f t="shared" si="2"/>
        <v>121564504.42694998</v>
      </c>
      <c r="L11" s="169">
        <f t="shared" si="2"/>
        <v>129454167.76311205</v>
      </c>
    </row>
    <row r="12" spans="1:14">
      <c r="B12" s="160" t="s">
        <v>25</v>
      </c>
      <c r="C12" s="14">
        <f>C9*$C$11</f>
        <v>220000</v>
      </c>
      <c r="D12" s="14">
        <f>D9*$C$11</f>
        <v>225499.99999999997</v>
      </c>
      <c r="E12" s="14">
        <f>E9*$C$11</f>
        <v>231137.49999999994</v>
      </c>
      <c r="F12" s="14">
        <f>F9*$C$11</f>
        <v>236915.93749999994</v>
      </c>
      <c r="H12" s="166" t="s">
        <v>44</v>
      </c>
      <c r="I12" s="6">
        <f>C14*C16</f>
        <v>15840000</v>
      </c>
      <c r="J12" s="6">
        <f t="shared" ref="J12:L12" si="3">D14*D16</f>
        <v>16926030</v>
      </c>
      <c r="K12" s="6">
        <f t="shared" si="3"/>
        <v>18086520.931874994</v>
      </c>
      <c r="L12" s="6">
        <f t="shared" si="3"/>
        <v>19326578.023266673</v>
      </c>
    </row>
    <row r="13" spans="1:14">
      <c r="B13" s="159" t="s">
        <v>26</v>
      </c>
      <c r="C13" s="4">
        <v>4</v>
      </c>
      <c r="D13" s="22"/>
      <c r="E13" s="22"/>
      <c r="F13" s="22"/>
      <c r="H13" s="166" t="s">
        <v>45</v>
      </c>
      <c r="I13" s="6">
        <f>C23*C25</f>
        <v>23040000</v>
      </c>
      <c r="J13" s="6">
        <f t="shared" ref="J13:L13" si="4">D23*D25</f>
        <v>24499584</v>
      </c>
      <c r="K13" s="6">
        <f t="shared" si="4"/>
        <v>26051632.646400001</v>
      </c>
      <c r="L13" s="6">
        <f t="shared" si="4"/>
        <v>27702003.57454944</v>
      </c>
    </row>
    <row r="14" spans="1:14">
      <c r="B14" s="161" t="s">
        <v>27</v>
      </c>
      <c r="C14" s="163">
        <f>C12*$C$13</f>
        <v>880000</v>
      </c>
      <c r="D14" s="163">
        <f t="shared" ref="D14:F14" si="5">D12*$C$13</f>
        <v>901999.99999999988</v>
      </c>
      <c r="E14" s="163">
        <f t="shared" si="5"/>
        <v>924549.99999999977</v>
      </c>
      <c r="F14" s="163">
        <f t="shared" si="5"/>
        <v>947663.74999999977</v>
      </c>
      <c r="H14" s="168" t="s">
        <v>46</v>
      </c>
      <c r="I14" s="169">
        <f>SUM(I12:I13)</f>
        <v>38880000</v>
      </c>
      <c r="J14" s="169">
        <f t="shared" ref="J14:L14" si="6">SUM(J12:J13)</f>
        <v>41425614</v>
      </c>
      <c r="K14" s="169">
        <f t="shared" si="6"/>
        <v>44138153.578274995</v>
      </c>
      <c r="L14" s="169">
        <f t="shared" si="6"/>
        <v>47028581.59781611</v>
      </c>
    </row>
    <row r="15" spans="1:14">
      <c r="B15" s="160" t="s">
        <v>22</v>
      </c>
      <c r="C15" s="6">
        <v>36</v>
      </c>
      <c r="D15" s="15">
        <f>C15*(1+$C$17)</f>
        <v>37.53</v>
      </c>
      <c r="E15" s="15">
        <f t="shared" ref="E15:F15" si="7">D15*(1+$C$17)</f>
        <v>39.125025000000001</v>
      </c>
      <c r="F15" s="15">
        <f t="shared" si="7"/>
        <v>40.787838562499999</v>
      </c>
      <c r="H15" s="166" t="s">
        <v>34</v>
      </c>
      <c r="I15" s="6">
        <f>C29</f>
        <v>25000000</v>
      </c>
      <c r="J15" s="6">
        <f t="shared" ref="J15:L15" si="8">D29</f>
        <v>25812500</v>
      </c>
      <c r="K15" s="6">
        <f t="shared" si="8"/>
        <v>26651406.25</v>
      </c>
      <c r="L15" s="6">
        <f t="shared" si="8"/>
        <v>27517576.953125</v>
      </c>
    </row>
    <row r="16" spans="1:14">
      <c r="B16" s="160" t="s">
        <v>23</v>
      </c>
      <c r="C16" s="6">
        <v>18</v>
      </c>
      <c r="D16" s="15">
        <f t="shared" ref="D16:F16" si="9">C16*(1+$C$17)</f>
        <v>18.765000000000001</v>
      </c>
      <c r="E16" s="15">
        <f t="shared" si="9"/>
        <v>19.5625125</v>
      </c>
      <c r="F16" s="15">
        <f t="shared" si="9"/>
        <v>20.39391928125</v>
      </c>
      <c r="H16" s="166" t="s">
        <v>35</v>
      </c>
      <c r="I16" s="6">
        <f>C33</f>
        <v>17148000</v>
      </c>
      <c r="J16" s="6">
        <f t="shared" ref="J16:L16" si="10">D33</f>
        <v>29388000</v>
      </c>
      <c r="K16" s="6">
        <f t="shared" si="10"/>
        <v>20988000</v>
      </c>
      <c r="L16" s="6">
        <f t="shared" si="10"/>
        <v>14988000</v>
      </c>
    </row>
    <row r="17" spans="1:18">
      <c r="B17" s="162" t="s">
        <v>20</v>
      </c>
      <c r="C17" s="21">
        <f>C42</f>
        <v>4.2500000000000003E-2</v>
      </c>
      <c r="D17" s="2"/>
      <c r="E17" s="2"/>
      <c r="F17" s="2"/>
      <c r="H17" s="166" t="s">
        <v>36</v>
      </c>
      <c r="I17" s="6">
        <f>I11-I14-I15-I16</f>
        <v>26172000</v>
      </c>
      <c r="J17" s="6">
        <f t="shared" ref="J17:L17" si="11">J11-J14-J15-J16</f>
        <v>17530138</v>
      </c>
      <c r="K17" s="6">
        <f t="shared" si="11"/>
        <v>29786944.598674983</v>
      </c>
      <c r="L17" s="6">
        <f t="shared" si="11"/>
        <v>39920009.212170944</v>
      </c>
    </row>
    <row r="18" spans="1:18">
      <c r="D18" s="2"/>
      <c r="E18" s="2"/>
      <c r="F18" s="2"/>
      <c r="H18" s="166" t="s">
        <v>39</v>
      </c>
      <c r="I18" s="6">
        <f>I17*$C$39</f>
        <v>5496120</v>
      </c>
      <c r="J18" s="6">
        <f t="shared" ref="J18:K18" si="12">J17*$C$39</f>
        <v>3681328.98</v>
      </c>
      <c r="K18" s="6">
        <f t="shared" si="12"/>
        <v>6255258.3657217463</v>
      </c>
      <c r="L18" s="6">
        <f>L17*$C$39</f>
        <v>8383201.9345558975</v>
      </c>
    </row>
    <row r="19" spans="1:18" ht="21.6" customHeight="1">
      <c r="A19" s="367" t="s">
        <v>18</v>
      </c>
      <c r="B19" s="367"/>
      <c r="C19" s="156" t="s">
        <v>8</v>
      </c>
      <c r="D19" s="156" t="s">
        <v>9</v>
      </c>
      <c r="E19" s="156" t="s">
        <v>10</v>
      </c>
      <c r="F19" s="156" t="s">
        <v>11</v>
      </c>
      <c r="H19" s="166" t="s">
        <v>37</v>
      </c>
      <c r="I19" s="6">
        <f>I17-I18</f>
        <v>20675880</v>
      </c>
      <c r="J19" s="6">
        <f t="shared" ref="J19:L19" si="13">J17-J18</f>
        <v>13848809.02</v>
      </c>
      <c r="K19" s="6">
        <f t="shared" si="13"/>
        <v>23531686.232953236</v>
      </c>
      <c r="L19" s="6">
        <f t="shared" si="13"/>
        <v>31536807.277615048</v>
      </c>
    </row>
    <row r="20" spans="1:18">
      <c r="B20" s="159" t="s">
        <v>17</v>
      </c>
      <c r="C20" s="4">
        <v>16000000</v>
      </c>
      <c r="D20" s="14">
        <f>C20*(1+$C$21)</f>
        <v>16320000</v>
      </c>
      <c r="E20" s="14">
        <f t="shared" ref="E20:F20" si="14">D20*(1+$C$21)</f>
        <v>16646400</v>
      </c>
      <c r="F20" s="14">
        <f t="shared" si="14"/>
        <v>16979328</v>
      </c>
      <c r="I20" s="33"/>
      <c r="J20" s="33"/>
      <c r="K20" s="33"/>
      <c r="L20" s="33"/>
    </row>
    <row r="21" spans="1:18">
      <c r="B21" s="159" t="s">
        <v>12</v>
      </c>
      <c r="C21" s="12">
        <v>0.02</v>
      </c>
      <c r="D21" s="2"/>
      <c r="E21" s="2"/>
      <c r="F21" s="2"/>
      <c r="H21" s="51" t="s">
        <v>38</v>
      </c>
      <c r="I21" s="170">
        <f>I19+I16</f>
        <v>37823880</v>
      </c>
      <c r="J21" s="170">
        <f t="shared" ref="J21:L21" si="15">J19+J16</f>
        <v>43236809.019999996</v>
      </c>
      <c r="K21" s="170">
        <f t="shared" si="15"/>
        <v>44519686.232953236</v>
      </c>
      <c r="L21" s="170">
        <f t="shared" si="15"/>
        <v>46524807.277615048</v>
      </c>
    </row>
    <row r="22" spans="1:18">
      <c r="B22" s="160" t="s">
        <v>13</v>
      </c>
      <c r="C22" s="1">
        <v>0.08</v>
      </c>
      <c r="D22" s="2"/>
      <c r="E22" s="2"/>
      <c r="F22" s="2"/>
    </row>
    <row r="23" spans="1:18">
      <c r="B23" s="161" t="s">
        <v>27</v>
      </c>
      <c r="C23" s="164">
        <f>C20*$C$22</f>
        <v>1280000</v>
      </c>
      <c r="D23" s="164">
        <f t="shared" ref="D23:F23" si="16">D20*$C$22</f>
        <v>1305600</v>
      </c>
      <c r="E23" s="164">
        <f t="shared" si="16"/>
        <v>1331712</v>
      </c>
      <c r="F23" s="164">
        <f t="shared" si="16"/>
        <v>1358346.24</v>
      </c>
    </row>
    <row r="24" spans="1:18">
      <c r="B24" s="160" t="s">
        <v>22</v>
      </c>
      <c r="C24" s="6">
        <v>59</v>
      </c>
      <c r="D24" s="15">
        <f>C24*(1+$C$26)</f>
        <v>61.5075</v>
      </c>
      <c r="E24" s="15">
        <f t="shared" ref="E24:F24" si="17">D24*(1+$C$26)</f>
        <v>64.121568749999994</v>
      </c>
      <c r="F24" s="15">
        <f t="shared" si="17"/>
        <v>66.846735421874996</v>
      </c>
      <c r="H24" s="155" t="s">
        <v>49</v>
      </c>
    </row>
    <row r="25" spans="1:18" ht="15.6" customHeight="1">
      <c r="B25" s="160" t="s">
        <v>23</v>
      </c>
      <c r="C25" s="6">
        <v>18</v>
      </c>
      <c r="D25" s="15">
        <f t="shared" ref="D25:F25" si="18">C25*(1+$C$26)</f>
        <v>18.765000000000001</v>
      </c>
      <c r="E25" s="15">
        <f t="shared" si="18"/>
        <v>19.5625125</v>
      </c>
      <c r="F25" s="15">
        <f t="shared" si="18"/>
        <v>20.39391928125</v>
      </c>
      <c r="H25" s="365" t="s">
        <v>50</v>
      </c>
      <c r="I25" s="365"/>
      <c r="J25" s="365"/>
      <c r="K25" s="365"/>
      <c r="L25" s="365"/>
      <c r="M25" s="365"/>
      <c r="N25" s="38"/>
      <c r="O25" s="38"/>
      <c r="P25" s="38"/>
      <c r="Q25" s="38"/>
      <c r="R25" s="38"/>
    </row>
    <row r="26" spans="1:18">
      <c r="B26" s="162" t="s">
        <v>20</v>
      </c>
      <c r="C26" s="21">
        <f>C42</f>
        <v>4.2500000000000003E-2</v>
      </c>
      <c r="D26" s="2"/>
      <c r="E26" s="2"/>
      <c r="F26" s="2"/>
      <c r="H26" s="365"/>
      <c r="I26" s="365"/>
      <c r="J26" s="365"/>
      <c r="K26" s="365"/>
      <c r="L26" s="365"/>
      <c r="M26" s="365"/>
    </row>
    <row r="27" spans="1:18">
      <c r="B27" s="2"/>
      <c r="C27" s="1"/>
      <c r="D27" s="2"/>
      <c r="E27" s="2"/>
      <c r="F27" s="2"/>
    </row>
    <row r="28" spans="1:18">
      <c r="B28" s="2"/>
      <c r="C28" s="72" t="s">
        <v>8</v>
      </c>
      <c r="D28" s="72" t="s">
        <v>9</v>
      </c>
      <c r="E28" s="72" t="s">
        <v>10</v>
      </c>
      <c r="F28" s="72" t="s">
        <v>11</v>
      </c>
      <c r="H28" s="25" t="s">
        <v>31</v>
      </c>
      <c r="I28" s="25"/>
      <c r="J28" s="171">
        <f>C35</f>
        <v>11000000</v>
      </c>
      <c r="K28" s="25"/>
      <c r="L28" s="37"/>
    </row>
    <row r="29" spans="1:18">
      <c r="A29" s="36" t="s">
        <v>34</v>
      </c>
      <c r="B29" s="2" t="s">
        <v>14</v>
      </c>
      <c r="C29" s="6">
        <v>25000000</v>
      </c>
      <c r="D29" s="14">
        <f>C29*(1+$C$40)</f>
        <v>25812500</v>
      </c>
      <c r="E29" s="14">
        <f t="shared" ref="E29:F29" si="19">D29*(1+$C$40)</f>
        <v>26651406.25</v>
      </c>
      <c r="F29" s="14">
        <f t="shared" si="19"/>
        <v>27517576.953125</v>
      </c>
      <c r="H29" s="25" t="s">
        <v>51</v>
      </c>
      <c r="I29" s="25"/>
      <c r="J29" s="172">
        <f>C36</f>
        <v>0.15</v>
      </c>
      <c r="K29" s="25" t="s">
        <v>52</v>
      </c>
      <c r="L29" s="37"/>
    </row>
    <row r="30" spans="1:18">
      <c r="B30" s="2" t="s">
        <v>81</v>
      </c>
      <c r="C30" s="6">
        <v>120000000</v>
      </c>
      <c r="D30" s="2"/>
      <c r="E30" s="2"/>
      <c r="F30" s="2"/>
      <c r="H30" s="25"/>
      <c r="I30" s="25"/>
      <c r="J30" s="40" t="s">
        <v>8</v>
      </c>
      <c r="K30" s="40" t="s">
        <v>9</v>
      </c>
      <c r="L30" s="40" t="s">
        <v>10</v>
      </c>
      <c r="M30" s="40" t="s">
        <v>11</v>
      </c>
    </row>
    <row r="31" spans="1:18">
      <c r="B31" s="2" t="s">
        <v>7</v>
      </c>
      <c r="C31" s="6">
        <v>51000000</v>
      </c>
      <c r="D31" s="2"/>
      <c r="E31" s="24"/>
      <c r="F31" s="24"/>
      <c r="H31" s="195" t="s">
        <v>53</v>
      </c>
      <c r="I31" s="26"/>
      <c r="J31" s="26"/>
      <c r="K31" s="26"/>
      <c r="L31" s="26"/>
      <c r="M31" s="197"/>
    </row>
    <row r="32" spans="1:18">
      <c r="A32" s="3" t="s">
        <v>29</v>
      </c>
      <c r="B32" s="2" t="s">
        <v>28</v>
      </c>
      <c r="C32" s="13">
        <v>0.1429</v>
      </c>
      <c r="D32" s="13">
        <v>0.24490000000000001</v>
      </c>
      <c r="E32" s="13">
        <v>0.1749</v>
      </c>
      <c r="F32" s="13">
        <v>0.1249</v>
      </c>
      <c r="H32" s="141" t="s">
        <v>54</v>
      </c>
      <c r="I32" s="2"/>
      <c r="J32" s="6">
        <f>J28</f>
        <v>11000000</v>
      </c>
      <c r="K32" s="6">
        <f>J33</f>
        <v>16080000</v>
      </c>
      <c r="L32" s="6">
        <f>K33</f>
        <v>17123437.800000001</v>
      </c>
      <c r="M32" s="198">
        <f>L33</f>
        <v>18234675.664042495</v>
      </c>
    </row>
    <row r="33" spans="1:19">
      <c r="B33" s="2" t="s">
        <v>30</v>
      </c>
      <c r="C33" s="6">
        <f>$C$30*C32</f>
        <v>17148000</v>
      </c>
      <c r="D33" s="6">
        <f t="shared" ref="D33:F33" si="20">$C$30*D32</f>
        <v>29388000</v>
      </c>
      <c r="E33" s="6">
        <f t="shared" si="20"/>
        <v>20988000</v>
      </c>
      <c r="F33" s="6">
        <f t="shared" si="20"/>
        <v>14988000</v>
      </c>
      <c r="H33" s="141" t="s">
        <v>55</v>
      </c>
      <c r="I33" s="2"/>
      <c r="J33" s="41">
        <f>$J$29*I11</f>
        <v>16080000</v>
      </c>
      <c r="K33" s="41">
        <f>$J$29*J11</f>
        <v>17123437.800000001</v>
      </c>
      <c r="L33" s="41">
        <f>$J$29*K11</f>
        <v>18234675.664042495</v>
      </c>
      <c r="M33" s="199">
        <v>0</v>
      </c>
    </row>
    <row r="34" spans="1:19">
      <c r="B34" s="2" t="s">
        <v>1</v>
      </c>
      <c r="C34" s="5">
        <v>4</v>
      </c>
      <c r="D34" s="2"/>
      <c r="E34" s="2"/>
      <c r="F34" s="2"/>
      <c r="H34" s="196" t="s">
        <v>56</v>
      </c>
      <c r="I34" s="121"/>
      <c r="J34" s="194">
        <f>J32-J33</f>
        <v>-5080000</v>
      </c>
      <c r="K34" s="194">
        <f t="shared" ref="K34:M34" si="21">K32-K33</f>
        <v>-1043437.8000000007</v>
      </c>
      <c r="L34" s="194">
        <f t="shared" si="21"/>
        <v>-1111237.8640424944</v>
      </c>
      <c r="M34" s="200">
        <f t="shared" si="21"/>
        <v>18234675.664042495</v>
      </c>
    </row>
    <row r="35" spans="1:19">
      <c r="B35" s="26" t="s">
        <v>31</v>
      </c>
      <c r="C35" s="27">
        <v>11000000</v>
      </c>
      <c r="D35" s="26"/>
      <c r="E35" s="26"/>
      <c r="F35" s="26"/>
    </row>
    <row r="36" spans="1:19">
      <c r="B36" s="2" t="s">
        <v>33</v>
      </c>
      <c r="C36" s="23">
        <v>0.15</v>
      </c>
      <c r="D36" s="2" t="s">
        <v>32</v>
      </c>
      <c r="E36" s="2"/>
      <c r="F36" s="2"/>
      <c r="H36" s="155" t="s">
        <v>63</v>
      </c>
    </row>
    <row r="37" spans="1:19" ht="15.6" customHeight="1">
      <c r="B37" s="2"/>
      <c r="C37" s="5"/>
      <c r="D37" s="2"/>
      <c r="E37" s="2"/>
      <c r="F37" s="2"/>
      <c r="H37" s="365" t="s">
        <v>64</v>
      </c>
      <c r="I37" s="365"/>
      <c r="J37" s="365"/>
      <c r="K37" s="365"/>
      <c r="L37" s="365"/>
      <c r="M37" s="365"/>
      <c r="N37" s="365"/>
      <c r="O37" s="47"/>
      <c r="P37" s="47"/>
      <c r="Q37" s="47"/>
      <c r="R37" s="47"/>
      <c r="S37" s="47"/>
    </row>
    <row r="38" spans="1:19">
      <c r="B38" s="2" t="s">
        <v>2</v>
      </c>
      <c r="C38" s="12">
        <v>0.159</v>
      </c>
      <c r="D38" s="2"/>
      <c r="E38" s="2"/>
      <c r="F38" s="2"/>
      <c r="H38" s="25" t="s">
        <v>57</v>
      </c>
      <c r="I38" s="25"/>
      <c r="J38" s="171">
        <f>C30</f>
        <v>120000000</v>
      </c>
      <c r="K38" s="43"/>
      <c r="L38" s="44"/>
      <c r="M38" s="37"/>
    </row>
    <row r="39" spans="1:19">
      <c r="B39" s="2" t="s">
        <v>3</v>
      </c>
      <c r="C39" s="7">
        <v>0.21</v>
      </c>
      <c r="D39" s="2"/>
      <c r="E39" s="2"/>
      <c r="F39" s="2"/>
      <c r="H39" s="37"/>
      <c r="I39" s="37"/>
      <c r="J39" s="40" t="s">
        <v>8</v>
      </c>
      <c r="K39" s="40" t="s">
        <v>9</v>
      </c>
      <c r="L39" s="40" t="s">
        <v>10</v>
      </c>
      <c r="M39" s="40" t="s">
        <v>11</v>
      </c>
      <c r="O39" s="48"/>
    </row>
    <row r="40" spans="1:19">
      <c r="B40" s="2" t="s">
        <v>15</v>
      </c>
      <c r="C40" s="18">
        <v>3.2500000000000001E-2</v>
      </c>
      <c r="D40" s="2"/>
      <c r="E40" s="2"/>
      <c r="F40" s="2"/>
      <c r="H40" s="195" t="s">
        <v>58</v>
      </c>
      <c r="I40" s="26"/>
      <c r="J40" s="201">
        <f>J38</f>
        <v>120000000</v>
      </c>
      <c r="K40" s="201">
        <f>J42</f>
        <v>102852000</v>
      </c>
      <c r="L40" s="201">
        <f>K42</f>
        <v>73464000</v>
      </c>
      <c r="M40" s="203">
        <f t="shared" ref="M40" si="22">L42</f>
        <v>52476000</v>
      </c>
    </row>
    <row r="41" spans="1:19">
      <c r="B41" s="16" t="s">
        <v>19</v>
      </c>
      <c r="C41" s="19">
        <v>0.01</v>
      </c>
      <c r="H41" s="141" t="s">
        <v>35</v>
      </c>
      <c r="I41" s="2"/>
      <c r="J41" s="202">
        <f>I16</f>
        <v>17148000</v>
      </c>
      <c r="K41" s="202">
        <f t="shared" ref="K41:M41" si="23">J16</f>
        <v>29388000</v>
      </c>
      <c r="L41" s="202">
        <f t="shared" si="23"/>
        <v>20988000</v>
      </c>
      <c r="M41" s="204">
        <f t="shared" si="23"/>
        <v>14988000</v>
      </c>
    </row>
    <row r="42" spans="1:19">
      <c r="A42" s="3" t="s">
        <v>21</v>
      </c>
      <c r="B42" s="16" t="s">
        <v>20</v>
      </c>
      <c r="C42" s="20">
        <f>C40+C41</f>
        <v>4.2500000000000003E-2</v>
      </c>
      <c r="D42" s="3" t="s">
        <v>79</v>
      </c>
      <c r="H42" s="141" t="s">
        <v>59</v>
      </c>
      <c r="I42" s="2"/>
      <c r="J42" s="202">
        <f>J40-J41</f>
        <v>102852000</v>
      </c>
      <c r="K42" s="202">
        <f>K40-K41</f>
        <v>73464000</v>
      </c>
      <c r="L42" s="202">
        <f>L40-L41</f>
        <v>52476000</v>
      </c>
      <c r="M42" s="204">
        <f t="shared" ref="M42" si="24">M40-M41</f>
        <v>37488000</v>
      </c>
    </row>
    <row r="43" spans="1:19">
      <c r="H43" s="141"/>
      <c r="I43" s="2"/>
      <c r="J43" s="202"/>
      <c r="K43" s="202"/>
      <c r="L43" s="202"/>
      <c r="M43" s="204"/>
    </row>
    <row r="44" spans="1:19">
      <c r="H44" s="141" t="s">
        <v>7</v>
      </c>
      <c r="I44" s="2"/>
      <c r="J44" s="6">
        <f>C31</f>
        <v>51000000</v>
      </c>
      <c r="K44" s="2" t="s">
        <v>60</v>
      </c>
      <c r="L44" s="2"/>
      <c r="M44" s="205">
        <f>M42</f>
        <v>37488000</v>
      </c>
    </row>
    <row r="45" spans="1:19">
      <c r="H45" s="141" t="s">
        <v>65</v>
      </c>
      <c r="I45" s="2"/>
      <c r="J45" s="6"/>
      <c r="K45" s="2"/>
      <c r="L45" s="2"/>
      <c r="M45" s="205"/>
    </row>
    <row r="46" spans="1:19">
      <c r="G46" s="17">
        <v>0.21</v>
      </c>
      <c r="H46" s="141" t="s">
        <v>61</v>
      </c>
      <c r="I46" s="2"/>
      <c r="J46" s="5">
        <f>(J44-M44)*C39</f>
        <v>2837520</v>
      </c>
      <c r="K46" s="6"/>
      <c r="L46" s="15"/>
      <c r="M46" s="206"/>
    </row>
    <row r="47" spans="1:19">
      <c r="H47" s="196" t="s">
        <v>62</v>
      </c>
      <c r="I47" s="121"/>
      <c r="J47" s="194">
        <f>J44-J46</f>
        <v>48162480</v>
      </c>
      <c r="K47" s="121"/>
      <c r="L47" s="121"/>
      <c r="M47" s="207"/>
    </row>
    <row r="48" spans="1:19">
      <c r="H48" s="25"/>
      <c r="I48" s="25"/>
      <c r="J48" s="53"/>
      <c r="K48" s="25"/>
      <c r="L48" s="25"/>
      <c r="M48" s="25"/>
    </row>
    <row r="50" spans="1:16" ht="15.6" customHeight="1">
      <c r="G50" s="38"/>
      <c r="H50" s="155" t="s">
        <v>73</v>
      </c>
      <c r="I50" s="38"/>
      <c r="J50" s="38"/>
      <c r="K50" s="38"/>
      <c r="L50" s="38"/>
      <c r="M50" s="38"/>
      <c r="N50" s="38"/>
      <c r="O50" s="38"/>
      <c r="P50" s="38"/>
    </row>
    <row r="51" spans="1:16">
      <c r="G51" s="25"/>
      <c r="H51" s="55" t="s">
        <v>66</v>
      </c>
      <c r="I51" s="25"/>
      <c r="J51" s="25"/>
      <c r="K51" s="25"/>
      <c r="L51" s="25"/>
      <c r="M51" s="25"/>
      <c r="N51" s="25"/>
      <c r="O51" s="25"/>
      <c r="P51" s="25"/>
    </row>
    <row r="52" spans="1:16">
      <c r="G52" s="25"/>
      <c r="H52" s="54"/>
      <c r="I52" s="25"/>
      <c r="J52" s="25"/>
      <c r="K52" s="25"/>
      <c r="L52" s="25"/>
      <c r="M52" s="25"/>
      <c r="N52" s="25"/>
      <c r="O52" s="25"/>
      <c r="P52" s="25"/>
    </row>
    <row r="53" spans="1:16" ht="16.2" thickBot="1">
      <c r="F53" s="25"/>
      <c r="H53" s="25"/>
      <c r="I53" s="25"/>
      <c r="J53" s="174" t="s">
        <v>67</v>
      </c>
      <c r="K53" s="174" t="s">
        <v>8</v>
      </c>
      <c r="L53" s="174" t="s">
        <v>9</v>
      </c>
      <c r="M53" s="174" t="s">
        <v>10</v>
      </c>
      <c r="N53" s="174" t="s">
        <v>11</v>
      </c>
      <c r="O53" s="40"/>
      <c r="P53" s="25"/>
    </row>
    <row r="54" spans="1:16">
      <c r="F54" s="25"/>
      <c r="H54" s="208" t="s">
        <v>68</v>
      </c>
      <c r="I54" s="209"/>
      <c r="J54" s="209"/>
      <c r="K54" s="210">
        <f>I21</f>
        <v>37823880</v>
      </c>
      <c r="L54" s="210">
        <f t="shared" ref="L54:N54" si="25">J21</f>
        <v>43236809.019999996</v>
      </c>
      <c r="M54" s="210">
        <f t="shared" si="25"/>
        <v>44519686.232953236</v>
      </c>
      <c r="N54" s="211">
        <f t="shared" si="25"/>
        <v>46524807.277615048</v>
      </c>
      <c r="O54" s="39"/>
      <c r="P54" s="25"/>
    </row>
    <row r="55" spans="1:16">
      <c r="F55" s="25"/>
      <c r="H55" s="212" t="s">
        <v>69</v>
      </c>
      <c r="I55" s="213"/>
      <c r="J55" s="214">
        <f>-J38</f>
        <v>-120000000</v>
      </c>
      <c r="K55" s="214"/>
      <c r="L55" s="214"/>
      <c r="M55" s="214"/>
      <c r="N55" s="215">
        <f>J47</f>
        <v>48162480</v>
      </c>
      <c r="O55" s="39"/>
      <c r="P55" s="25"/>
    </row>
    <row r="56" spans="1:16">
      <c r="F56" s="25"/>
      <c r="H56" s="212" t="s">
        <v>53</v>
      </c>
      <c r="I56" s="213"/>
      <c r="J56" s="216">
        <f>-J28</f>
        <v>-11000000</v>
      </c>
      <c r="K56" s="217">
        <f>J34</f>
        <v>-5080000</v>
      </c>
      <c r="L56" s="217">
        <f t="shared" ref="L56:N56" si="26">K34</f>
        <v>-1043437.8000000007</v>
      </c>
      <c r="M56" s="217">
        <f t="shared" si="26"/>
        <v>-1111237.8640424944</v>
      </c>
      <c r="N56" s="218">
        <f t="shared" si="26"/>
        <v>18234675.664042495</v>
      </c>
      <c r="O56" s="5"/>
      <c r="P56" s="25"/>
    </row>
    <row r="57" spans="1:16" ht="16.2" thickBot="1">
      <c r="F57" s="25"/>
      <c r="H57" s="219" t="s">
        <v>70</v>
      </c>
      <c r="I57" s="220"/>
      <c r="J57" s="221">
        <f>SUM(J54:J56)</f>
        <v>-131000000</v>
      </c>
      <c r="K57" s="221">
        <f>SUM(K54:K56)</f>
        <v>32743880</v>
      </c>
      <c r="L57" s="221">
        <f t="shared" ref="L57:N57" si="27">SUM(L54:L56)</f>
        <v>42193371.219999999</v>
      </c>
      <c r="M57" s="221">
        <f t="shared" si="27"/>
        <v>43408448.368910745</v>
      </c>
      <c r="N57" s="222">
        <f t="shared" si="27"/>
        <v>112921962.94165754</v>
      </c>
      <c r="O57" s="39"/>
      <c r="P57" s="25"/>
    </row>
    <row r="58" spans="1:16" ht="16.2" thickBot="1">
      <c r="F58" s="25"/>
      <c r="H58" s="25"/>
      <c r="I58" s="25"/>
      <c r="J58" s="25"/>
      <c r="K58" s="25"/>
      <c r="L58" s="25"/>
      <c r="M58" s="25"/>
      <c r="N58" s="25"/>
      <c r="O58" s="25"/>
      <c r="P58" s="25"/>
    </row>
    <row r="59" spans="1:16" ht="16.2" thickBot="1">
      <c r="F59" s="25"/>
      <c r="G59" s="58">
        <f>C38</f>
        <v>0.159</v>
      </c>
      <c r="H59" s="223" t="s">
        <v>71</v>
      </c>
      <c r="I59" s="275">
        <f>NPV(G59,K57:N57)+J57</f>
        <v>19125834.624624908</v>
      </c>
      <c r="K59" s="52" t="s">
        <v>74</v>
      </c>
      <c r="L59" s="25"/>
      <c r="M59" s="25"/>
      <c r="N59" s="25"/>
      <c r="O59" s="25"/>
      <c r="P59" s="25"/>
    </row>
    <row r="60" spans="1:16" ht="16.2" thickBot="1">
      <c r="F60" s="25"/>
      <c r="I60" s="59"/>
      <c r="J60" s="25"/>
      <c r="K60" s="25"/>
      <c r="L60" s="39"/>
      <c r="M60" s="25"/>
      <c r="N60" s="25"/>
      <c r="O60" s="25"/>
      <c r="P60" s="25"/>
    </row>
    <row r="61" spans="1:16" ht="16.2" thickBot="1">
      <c r="F61" s="25"/>
      <c r="H61" s="223" t="s">
        <v>72</v>
      </c>
      <c r="I61" s="225">
        <f>IRR(J57:N57)</f>
        <v>0.21684330774067972</v>
      </c>
      <c r="J61" s="25"/>
      <c r="K61" s="25"/>
      <c r="L61" s="25"/>
      <c r="M61" s="25"/>
      <c r="N61" s="25"/>
      <c r="O61" s="25"/>
      <c r="P61" s="25"/>
    </row>
    <row r="62" spans="1:16">
      <c r="A62" s="299" t="s">
        <v>122</v>
      </c>
      <c r="B62" s="300"/>
      <c r="C62" s="300"/>
      <c r="D62" s="300"/>
      <c r="E62" s="300"/>
      <c r="F62" s="300"/>
      <c r="G62" s="300"/>
      <c r="H62" s="300"/>
      <c r="I62" s="300"/>
      <c r="J62" s="300"/>
    </row>
    <row r="63" spans="1:16" ht="15.6" customHeight="1" thickBot="1">
      <c r="A63" s="62"/>
      <c r="B63" s="62"/>
      <c r="C63" s="62"/>
      <c r="D63" s="62"/>
      <c r="E63" s="62"/>
      <c r="F63" s="62"/>
      <c r="G63" s="62"/>
      <c r="H63" s="62"/>
      <c r="I63" s="67"/>
      <c r="J63" s="64"/>
      <c r="K63" s="64"/>
      <c r="L63" s="64"/>
      <c r="M63" s="82"/>
      <c r="N63" s="82"/>
    </row>
    <row r="64" spans="1:16" ht="31.2">
      <c r="A64" s="62"/>
      <c r="B64" s="301" t="s">
        <v>117</v>
      </c>
      <c r="C64" s="302" t="s">
        <v>71</v>
      </c>
      <c r="D64" s="62"/>
      <c r="E64" s="301" t="s">
        <v>118</v>
      </c>
      <c r="F64" s="302" t="s">
        <v>71</v>
      </c>
      <c r="G64" s="62"/>
      <c r="H64" s="301" t="s">
        <v>78</v>
      </c>
      <c r="I64" s="318" t="s">
        <v>118</v>
      </c>
      <c r="J64" s="319" t="s">
        <v>71</v>
      </c>
      <c r="K64" s="62"/>
      <c r="L64" s="62"/>
      <c r="M64" s="82"/>
      <c r="N64" s="82"/>
    </row>
    <row r="65" spans="1:14">
      <c r="A65" s="62"/>
      <c r="B65" s="303"/>
      <c r="C65" s="304">
        <f>$I$59</f>
        <v>19125834.624624908</v>
      </c>
      <c r="D65" s="62"/>
      <c r="E65" s="303"/>
      <c r="F65" s="304">
        <f>$I$59</f>
        <v>19125834.624624908</v>
      </c>
      <c r="G65" s="62"/>
      <c r="H65" s="303"/>
      <c r="I65" s="320"/>
      <c r="J65" s="321">
        <f>$I$59</f>
        <v>19125834.624624908</v>
      </c>
      <c r="K65" s="62"/>
      <c r="L65" s="62"/>
      <c r="M65" s="82"/>
      <c r="N65" s="82"/>
    </row>
    <row r="66" spans="1:14">
      <c r="A66" s="65" t="s">
        <v>121</v>
      </c>
      <c r="B66" s="305">
        <v>0.01</v>
      </c>
      <c r="C66" s="306">
        <f t="dataTable" ref="C66:C75" dt2D="0" dtr="0" r1="C11"/>
        <v>-14357150.313714236</v>
      </c>
      <c r="D66" s="65" t="s">
        <v>126</v>
      </c>
      <c r="E66" s="312">
        <v>24</v>
      </c>
      <c r="F66" s="313">
        <f t="dataTable" ref="F66:F75" dt2D="0" dtr="0" r1="C15" ca="1"/>
        <v>-5948084.7876235694</v>
      </c>
      <c r="G66" s="62"/>
      <c r="H66" s="305">
        <v>-0.5</v>
      </c>
      <c r="I66" s="322">
        <f t="shared" ref="I66:I69" si="28">$I$71*(1+H66)</f>
        <v>18</v>
      </c>
      <c r="J66" s="306">
        <f t="dataTable" ref="J66:J75" dt2D="0" dtr="0" r1="C15" ca="1"/>
        <v>-18485044.493747801</v>
      </c>
      <c r="K66" s="62"/>
      <c r="L66" s="62"/>
      <c r="M66" s="82"/>
      <c r="N66" s="82"/>
    </row>
    <row r="67" spans="1:14" ht="19.2" customHeight="1">
      <c r="A67" s="62"/>
      <c r="B67" s="305">
        <v>0.03</v>
      </c>
      <c r="C67" s="307">
        <v>-7660553.3260463923</v>
      </c>
      <c r="D67" s="62"/>
      <c r="E67" s="312">
        <v>27</v>
      </c>
      <c r="F67" s="313">
        <v>320395.06543855369</v>
      </c>
      <c r="G67" s="62"/>
      <c r="H67" s="305">
        <v>-0.4</v>
      </c>
      <c r="I67" s="322">
        <f t="shared" si="28"/>
        <v>21.599999999999998</v>
      </c>
      <c r="J67" s="307">
        <v>-10962868.670073286</v>
      </c>
      <c r="K67" s="62"/>
      <c r="L67" s="62"/>
      <c r="M67" s="82"/>
      <c r="N67" s="82"/>
    </row>
    <row r="68" spans="1:14" ht="18.600000000000001" customHeight="1">
      <c r="A68" s="62"/>
      <c r="B68" s="305">
        <v>0.05</v>
      </c>
      <c r="C68" s="307">
        <v>-963956.33837856352</v>
      </c>
      <c r="D68" s="62"/>
      <c r="E68" s="312">
        <v>30</v>
      </c>
      <c r="F68" s="313">
        <v>6588874.9185006917</v>
      </c>
      <c r="G68" s="62"/>
      <c r="H68" s="305">
        <v>-0.3</v>
      </c>
      <c r="I68" s="322">
        <f t="shared" si="28"/>
        <v>25.2</v>
      </c>
      <c r="J68" s="307">
        <v>-3440692.8463987112</v>
      </c>
      <c r="K68" s="62"/>
      <c r="L68" s="62"/>
      <c r="M68" s="82"/>
      <c r="N68" s="82"/>
    </row>
    <row r="69" spans="1:14">
      <c r="A69" s="62"/>
      <c r="B69" s="305">
        <v>7.0000000000000007E-2</v>
      </c>
      <c r="C69" s="307">
        <v>5732640.6492892504</v>
      </c>
      <c r="D69" s="66"/>
      <c r="E69" s="312">
        <v>33</v>
      </c>
      <c r="F69" s="313">
        <v>12857354.771562785</v>
      </c>
      <c r="G69" s="62"/>
      <c r="H69" s="305">
        <v>-0.2</v>
      </c>
      <c r="I69" s="322">
        <f t="shared" si="28"/>
        <v>28.8</v>
      </c>
      <c r="J69" s="307">
        <v>4081482.9772758186</v>
      </c>
      <c r="K69" s="62"/>
      <c r="L69" s="62"/>
      <c r="M69" s="82"/>
      <c r="N69" s="82"/>
    </row>
    <row r="70" spans="1:14">
      <c r="A70" s="62"/>
      <c r="B70" s="305">
        <v>0.09</v>
      </c>
      <c r="C70" s="307">
        <v>12429237.636957079</v>
      </c>
      <c r="D70" s="62"/>
      <c r="E70" s="314">
        <v>36</v>
      </c>
      <c r="F70" s="315">
        <v>19125834.624624908</v>
      </c>
      <c r="G70" s="62"/>
      <c r="H70" s="305">
        <v>-0.1</v>
      </c>
      <c r="I70" s="322">
        <f>$I$71*(1+H70)</f>
        <v>32.4</v>
      </c>
      <c r="J70" s="307">
        <v>11603658.800950378</v>
      </c>
      <c r="K70" s="62"/>
      <c r="L70" s="62"/>
    </row>
    <row r="71" spans="1:14">
      <c r="A71" s="62"/>
      <c r="B71" s="308">
        <v>0.11</v>
      </c>
      <c r="C71" s="309">
        <v>19125834.624624908</v>
      </c>
      <c r="D71" s="62"/>
      <c r="E71" s="312">
        <v>39</v>
      </c>
      <c r="F71" s="313">
        <v>25394314.477687061</v>
      </c>
      <c r="G71" s="62"/>
      <c r="H71" s="308">
        <v>0</v>
      </c>
      <c r="I71" s="323">
        <v>36</v>
      </c>
      <c r="J71" s="309">
        <v>19125834.624624908</v>
      </c>
      <c r="K71" s="62"/>
      <c r="L71" s="62"/>
    </row>
    <row r="72" spans="1:14">
      <c r="A72" s="62"/>
      <c r="B72" s="305">
        <v>0.13</v>
      </c>
      <c r="C72" s="307">
        <v>25822431.612292767</v>
      </c>
      <c r="D72" s="62"/>
      <c r="E72" s="312">
        <v>42</v>
      </c>
      <c r="F72" s="313">
        <v>31662794.330749154</v>
      </c>
      <c r="G72" s="62"/>
      <c r="H72" s="305">
        <v>0.1</v>
      </c>
      <c r="I72" s="322">
        <f t="shared" ref="I72:I75" si="29">$I$71*(1+H72)</f>
        <v>39.6</v>
      </c>
      <c r="J72" s="307">
        <v>26648010.448299468</v>
      </c>
      <c r="K72" s="62"/>
      <c r="L72" s="62"/>
    </row>
    <row r="73" spans="1:14">
      <c r="A73" s="62"/>
      <c r="B73" s="305">
        <v>0.15</v>
      </c>
      <c r="C73" s="307">
        <v>32519028.599960566</v>
      </c>
      <c r="D73" s="62"/>
      <c r="E73" s="312">
        <v>45</v>
      </c>
      <c r="F73" s="313">
        <v>37931274.183811307</v>
      </c>
      <c r="G73" s="62"/>
      <c r="H73" s="305">
        <v>0.2</v>
      </c>
      <c r="I73" s="322">
        <f t="shared" si="29"/>
        <v>43.199999999999996</v>
      </c>
      <c r="J73" s="307">
        <v>34170186.271973997</v>
      </c>
      <c r="K73" s="62"/>
      <c r="L73" s="62"/>
    </row>
    <row r="74" spans="1:14">
      <c r="A74" s="64"/>
      <c r="B74" s="305">
        <v>0.17</v>
      </c>
      <c r="C74" s="307">
        <v>39215625.587628394</v>
      </c>
      <c r="D74" s="64"/>
      <c r="E74" s="312">
        <v>48</v>
      </c>
      <c r="F74" s="313">
        <v>44199754.0368734</v>
      </c>
      <c r="G74" s="62"/>
      <c r="H74" s="305">
        <v>0.3</v>
      </c>
      <c r="I74" s="322">
        <f t="shared" si="29"/>
        <v>46.800000000000004</v>
      </c>
      <c r="J74" s="307">
        <v>41692362.095648527</v>
      </c>
      <c r="K74" s="62"/>
      <c r="L74" s="62"/>
    </row>
    <row r="75" spans="1:14" ht="16.2" thickBot="1">
      <c r="A75" s="62"/>
      <c r="B75" s="310">
        <v>0.19</v>
      </c>
      <c r="C75" s="311">
        <v>45912222.575296193</v>
      </c>
      <c r="D75" s="62"/>
      <c r="E75" s="316">
        <v>51</v>
      </c>
      <c r="F75" s="317">
        <v>50468233.889935493</v>
      </c>
      <c r="G75" s="62"/>
      <c r="H75" s="310">
        <v>0.4</v>
      </c>
      <c r="I75" s="324">
        <f t="shared" si="29"/>
        <v>50.4</v>
      </c>
      <c r="J75" s="311">
        <v>49214537.919323087</v>
      </c>
      <c r="K75" s="62"/>
      <c r="L75" s="62"/>
    </row>
    <row r="77" spans="1:14" ht="16.2" thickBot="1"/>
    <row r="78" spans="1:14" ht="31.2">
      <c r="B78" s="325" t="s">
        <v>120</v>
      </c>
      <c r="C78" s="326" t="s">
        <v>71</v>
      </c>
      <c r="E78" s="336" t="s">
        <v>123</v>
      </c>
      <c r="F78" s="337" t="s">
        <v>71</v>
      </c>
      <c r="G78" s="62"/>
      <c r="H78" s="325" t="s">
        <v>78</v>
      </c>
      <c r="I78" s="345" t="s">
        <v>123</v>
      </c>
      <c r="J78" s="326" t="s">
        <v>71</v>
      </c>
    </row>
    <row r="79" spans="1:14">
      <c r="B79" s="327"/>
      <c r="C79" s="328">
        <f>I59</f>
        <v>19125834.624624908</v>
      </c>
      <c r="E79" s="327"/>
      <c r="F79" s="338">
        <f>$I$59</f>
        <v>19125834.624624908</v>
      </c>
      <c r="G79" s="62"/>
      <c r="H79" s="327"/>
      <c r="I79" s="346"/>
      <c r="J79" s="328">
        <f>$I$59</f>
        <v>19125834.624624908</v>
      </c>
    </row>
    <row r="80" spans="1:14">
      <c r="A80" s="65" t="s">
        <v>127</v>
      </c>
      <c r="B80" s="329">
        <v>0.05</v>
      </c>
      <c r="C80" s="330">
        <f t="dataTable" ref="C80:C89" dt2D="0" dtr="0" r1="C22" ca="1"/>
        <v>-26859621.199204922</v>
      </c>
      <c r="D80" s="65" t="s">
        <v>126</v>
      </c>
      <c r="E80" s="339">
        <v>47</v>
      </c>
      <c r="F80" s="340">
        <f t="dataTable" ref="F80:F89" dt2D="0" dtr="0" r1="C24" ca="1"/>
        <v>-17095613.844410598</v>
      </c>
      <c r="G80" s="62"/>
      <c r="H80" s="329">
        <v>-0.5</v>
      </c>
      <c r="I80" s="347">
        <f t="shared" ref="I80:I83" si="30">$I$85*(1+H80)</f>
        <v>29.5</v>
      </c>
      <c r="J80" s="330">
        <f t="dataTable" ref="J80:J89" dt2D="0" dtr="0" r1="C24" ca="1"/>
        <v>-69918559.528420776</v>
      </c>
    </row>
    <row r="81" spans="2:10">
      <c r="B81" s="329">
        <v>0.06</v>
      </c>
      <c r="C81" s="331">
        <v>-11531135.924594969</v>
      </c>
      <c r="E81" s="339">
        <v>50</v>
      </c>
      <c r="F81" s="340">
        <v>-8040251.7271517664</v>
      </c>
      <c r="G81" s="62"/>
      <c r="H81" s="329">
        <v>-0.4</v>
      </c>
      <c r="I81" s="347">
        <f t="shared" si="30"/>
        <v>35.4</v>
      </c>
      <c r="J81" s="331">
        <v>-52109680.697811663</v>
      </c>
    </row>
    <row r="82" spans="2:10">
      <c r="B82" s="329">
        <v>7.0000000000000007E-2</v>
      </c>
      <c r="C82" s="331">
        <v>3797349.3500149846</v>
      </c>
      <c r="E82" s="339">
        <v>53</v>
      </c>
      <c r="F82" s="340">
        <v>1015110.3901071399</v>
      </c>
      <c r="G82" s="62"/>
      <c r="H82" s="329">
        <v>-0.3</v>
      </c>
      <c r="I82" s="347">
        <f t="shared" si="30"/>
        <v>41.3</v>
      </c>
      <c r="J82" s="331">
        <v>-34300801.867202505</v>
      </c>
    </row>
    <row r="83" spans="2:10">
      <c r="B83" s="332">
        <v>0.08</v>
      </c>
      <c r="C83" s="333">
        <v>19125834.624624908</v>
      </c>
      <c r="E83" s="339">
        <v>56</v>
      </c>
      <c r="F83" s="340">
        <v>10070472.507366031</v>
      </c>
      <c r="G83" s="62"/>
      <c r="H83" s="329">
        <v>-0.2</v>
      </c>
      <c r="I83" s="347">
        <f t="shared" si="30"/>
        <v>47.2</v>
      </c>
      <c r="J83" s="331">
        <v>-16491923.036593378</v>
      </c>
    </row>
    <row r="84" spans="2:10">
      <c r="B84" s="329">
        <v>0.09</v>
      </c>
      <c r="C84" s="331">
        <v>34454319.899234861</v>
      </c>
      <c r="E84" s="341">
        <v>59</v>
      </c>
      <c r="F84" s="342">
        <v>19125834.624624908</v>
      </c>
      <c r="G84" s="62"/>
      <c r="H84" s="329">
        <v>-0.1</v>
      </c>
      <c r="I84" s="347">
        <f>$I$85*(1+H84)</f>
        <v>53.1</v>
      </c>
      <c r="J84" s="331">
        <v>1316955.7940157652</v>
      </c>
    </row>
    <row r="85" spans="2:10">
      <c r="B85" s="329">
        <v>0.1</v>
      </c>
      <c r="C85" s="331">
        <v>49782805.173844784</v>
      </c>
      <c r="E85" s="339">
        <v>62</v>
      </c>
      <c r="F85" s="340">
        <v>28181196.741883785</v>
      </c>
      <c r="G85" s="62"/>
      <c r="H85" s="332">
        <v>0</v>
      </c>
      <c r="I85" s="348">
        <v>59</v>
      </c>
      <c r="J85" s="333">
        <v>19125834.624624908</v>
      </c>
    </row>
    <row r="86" spans="2:10">
      <c r="B86" s="329">
        <v>0.11</v>
      </c>
      <c r="C86" s="331">
        <v>65111290.448454708</v>
      </c>
      <c r="E86" s="339">
        <v>65</v>
      </c>
      <c r="F86" s="340">
        <v>37236558.859142691</v>
      </c>
      <c r="G86" s="62"/>
      <c r="H86" s="329">
        <v>0.1</v>
      </c>
      <c r="I86" s="347">
        <f t="shared" ref="I86:I89" si="31">$I$85*(1+H86)</f>
        <v>64.900000000000006</v>
      </c>
      <c r="J86" s="331">
        <v>36934713.455234081</v>
      </c>
    </row>
    <row r="87" spans="2:10">
      <c r="B87" s="329">
        <v>0.12</v>
      </c>
      <c r="C87" s="331">
        <v>80439775.723064661</v>
      </c>
      <c r="E87" s="339">
        <v>68</v>
      </c>
      <c r="F87" s="340">
        <v>46291920.976401567</v>
      </c>
      <c r="G87" s="62"/>
      <c r="H87" s="329">
        <v>0.2</v>
      </c>
      <c r="I87" s="347">
        <f t="shared" si="31"/>
        <v>70.8</v>
      </c>
      <c r="J87" s="331">
        <v>54743592.285843164</v>
      </c>
    </row>
    <row r="88" spans="2:10">
      <c r="B88" s="329">
        <v>0.13</v>
      </c>
      <c r="C88" s="331">
        <v>95768260.997674614</v>
      </c>
      <c r="E88" s="339">
        <v>71</v>
      </c>
      <c r="F88" s="340">
        <v>55347283.093660414</v>
      </c>
      <c r="G88" s="62"/>
      <c r="H88" s="329">
        <v>0.3</v>
      </c>
      <c r="I88" s="347">
        <f t="shared" si="31"/>
        <v>76.7</v>
      </c>
      <c r="J88" s="331">
        <v>72552471.116452336</v>
      </c>
    </row>
    <row r="89" spans="2:10" ht="16.2" thickBot="1">
      <c r="B89" s="334">
        <v>0.14000000000000001</v>
      </c>
      <c r="C89" s="335">
        <v>111096746.27228451</v>
      </c>
      <c r="E89" s="343">
        <v>74</v>
      </c>
      <c r="F89" s="344">
        <v>64402645.21091935</v>
      </c>
      <c r="G89" s="62"/>
      <c r="H89" s="334">
        <v>0.4</v>
      </c>
      <c r="I89" s="349">
        <f t="shared" si="31"/>
        <v>82.6</v>
      </c>
      <c r="J89" s="335">
        <v>90361349.947061419</v>
      </c>
    </row>
    <row r="91" spans="2:10" ht="16.2" thickBot="1"/>
    <row r="92" spans="2:10">
      <c r="B92" s="351"/>
      <c r="C92" s="350" t="s">
        <v>8</v>
      </c>
      <c r="D92" s="350" t="s">
        <v>9</v>
      </c>
      <c r="E92" s="350" t="s">
        <v>10</v>
      </c>
      <c r="F92" s="352" t="s">
        <v>11</v>
      </c>
    </row>
    <row r="93" spans="2:10">
      <c r="B93" s="353" t="s">
        <v>40</v>
      </c>
      <c r="C93" s="354">
        <f>C15*C14</f>
        <v>31680000</v>
      </c>
      <c r="D93" s="354">
        <f t="shared" ref="D93:F93" si="32">D15*D14</f>
        <v>33852060</v>
      </c>
      <c r="E93" s="354">
        <f t="shared" si="32"/>
        <v>36173041.863749988</v>
      </c>
      <c r="F93" s="355">
        <f t="shared" si="32"/>
        <v>38653156.046533346</v>
      </c>
    </row>
    <row r="94" spans="2:10">
      <c r="B94" s="353" t="s">
        <v>129</v>
      </c>
      <c r="C94" s="354">
        <f>C16*C14</f>
        <v>15840000</v>
      </c>
      <c r="D94" s="354">
        <f t="shared" ref="D94:F94" si="33">D16*D14</f>
        <v>16926030</v>
      </c>
      <c r="E94" s="354">
        <f t="shared" si="33"/>
        <v>18086520.931874994</v>
      </c>
      <c r="F94" s="355">
        <f t="shared" si="33"/>
        <v>19326578.023266673</v>
      </c>
    </row>
    <row r="95" spans="2:10">
      <c r="B95" s="356" t="s">
        <v>130</v>
      </c>
      <c r="C95" s="357">
        <f>C93-C94</f>
        <v>15840000</v>
      </c>
      <c r="D95" s="357">
        <f t="shared" ref="D95:F95" si="34">D93-D94</f>
        <v>16926030</v>
      </c>
      <c r="E95" s="357">
        <f t="shared" si="34"/>
        <v>18086520.931874994</v>
      </c>
      <c r="F95" s="358">
        <f t="shared" si="34"/>
        <v>19326578.023266673</v>
      </c>
    </row>
    <row r="96" spans="2:10">
      <c r="B96" s="353" t="s">
        <v>41</v>
      </c>
      <c r="C96" s="354">
        <f>C23*C24</f>
        <v>75520000</v>
      </c>
      <c r="D96" s="354">
        <f t="shared" ref="D96:F96" si="35">D23*D24</f>
        <v>80304192</v>
      </c>
      <c r="E96" s="354">
        <f t="shared" si="35"/>
        <v>85391462.563199997</v>
      </c>
      <c r="F96" s="355">
        <f t="shared" si="35"/>
        <v>90801011.716578707</v>
      </c>
    </row>
    <row r="97" spans="2:6">
      <c r="B97" s="353" t="s">
        <v>45</v>
      </c>
      <c r="C97" s="354">
        <f>C23*C25</f>
        <v>23040000</v>
      </c>
      <c r="D97" s="354">
        <f t="shared" ref="D97:F97" si="36">D23*D25</f>
        <v>24499584</v>
      </c>
      <c r="E97" s="354">
        <f t="shared" si="36"/>
        <v>26051632.646400001</v>
      </c>
      <c r="F97" s="355">
        <f t="shared" si="36"/>
        <v>27702003.57454944</v>
      </c>
    </row>
    <row r="98" spans="2:6">
      <c r="B98" s="356" t="s">
        <v>131</v>
      </c>
      <c r="C98" s="357">
        <f>C96-C97</f>
        <v>52480000</v>
      </c>
      <c r="D98" s="357">
        <f t="shared" ref="D98:F98" si="37">D96-D97</f>
        <v>55804608</v>
      </c>
      <c r="E98" s="357">
        <f t="shared" si="37"/>
        <v>59339829.916799992</v>
      </c>
      <c r="F98" s="358">
        <f t="shared" si="37"/>
        <v>63099008.142029271</v>
      </c>
    </row>
    <row r="99" spans="2:6" ht="16.2" thickBot="1">
      <c r="B99" s="359" t="s">
        <v>132</v>
      </c>
      <c r="C99" s="360">
        <f>C98-C95</f>
        <v>36640000</v>
      </c>
      <c r="D99" s="360">
        <f t="shared" ref="D99:F99" si="38">D98-D95</f>
        <v>38878578</v>
      </c>
      <c r="E99" s="360">
        <f t="shared" si="38"/>
        <v>41253308.984925002</v>
      </c>
      <c r="F99" s="361">
        <f t="shared" si="38"/>
        <v>43772430.118762597</v>
      </c>
    </row>
  </sheetData>
  <mergeCells count="8">
    <mergeCell ref="A19:B19"/>
    <mergeCell ref="H25:M26"/>
    <mergeCell ref="H37:N37"/>
    <mergeCell ref="B1:D1"/>
    <mergeCell ref="A2:G2"/>
    <mergeCell ref="A4:J5"/>
    <mergeCell ref="H7:L7"/>
    <mergeCell ref="A8:B8"/>
  </mergeCells>
  <dataValidations disablePrompts="1" count="4">
    <dataValidation type="list" allowBlank="1" showInputMessage="1" showErrorMessage="1" sqref="C11" xr:uid="{9E44705E-E168-421E-AE23-1021E7B38924}">
      <formula1>"1%,3%,5%,7%,9%,11%,13%,15%,17%,19%"</formula1>
    </dataValidation>
    <dataValidation type="list" allowBlank="1" showInputMessage="1" showErrorMessage="1" sqref="C22" xr:uid="{8F2FEB74-1FD3-4F10-A5B1-3032B446ED43}">
      <formula1>"5%,6%,7%,8%,9%,10%,11%,12%,13%,14%"</formula1>
    </dataValidation>
    <dataValidation type="list" allowBlank="1" showInputMessage="1" showErrorMessage="1" sqref="C15" xr:uid="{4FB05BAB-B7B4-4C97-BD04-97C58D226DF9}">
      <formula1>"24, 27, 30, 33, 36, 39, 42, 45, 48, 51"</formula1>
    </dataValidation>
    <dataValidation type="list" allowBlank="1" showInputMessage="1" showErrorMessage="1" sqref="C24" xr:uid="{4D78EF7F-1061-42B9-8D60-AC42A536724C}">
      <formula1>"47, 50, 53, 56, 59, 62, 65, 68, 71, 74"</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6A31B-98A3-45BF-A804-2E0DC4643807}">
  <dimension ref="A1:M306"/>
  <sheetViews>
    <sheetView workbookViewId="0"/>
  </sheetViews>
  <sheetFormatPr defaultRowHeight="15.6"/>
  <sheetData>
    <row r="1" spans="1:13" ht="17.399999999999999">
      <c r="A1" s="391"/>
      <c r="B1" s="391"/>
      <c r="C1" s="391"/>
      <c r="D1" s="3"/>
      <c r="E1" s="3"/>
      <c r="F1" s="3"/>
      <c r="G1" s="3"/>
      <c r="H1" s="3"/>
      <c r="I1" s="3"/>
      <c r="J1" s="3"/>
      <c r="K1" s="3"/>
      <c r="L1" s="3"/>
      <c r="M1" s="3"/>
    </row>
    <row r="2" spans="1:13" ht="17.399999999999999">
      <c r="B2" s="130"/>
    </row>
    <row r="3" spans="1:13">
      <c r="A3" s="3"/>
      <c r="B3" s="6"/>
    </row>
    <row r="4" spans="1:13">
      <c r="A4" s="3"/>
      <c r="B4" s="6"/>
    </row>
    <row r="5" spans="1:13">
      <c r="A5" s="29"/>
    </row>
    <row r="6" spans="1:13">
      <c r="A6" s="29"/>
    </row>
    <row r="7" spans="1:13">
      <c r="A7" s="72"/>
    </row>
    <row r="8" spans="1:13">
      <c r="A8" s="389"/>
      <c r="B8" s="389"/>
      <c r="C8" s="389"/>
      <c r="D8" s="389"/>
      <c r="E8" s="389"/>
    </row>
    <row r="9" spans="1:13">
      <c r="A9" s="3"/>
      <c r="B9" s="72"/>
      <c r="C9" s="72"/>
      <c r="D9" s="72"/>
      <c r="E9" s="72"/>
    </row>
    <row r="10" spans="1:13">
      <c r="A10" s="33"/>
      <c r="B10" s="6"/>
      <c r="C10" s="6"/>
      <c r="D10" s="6"/>
      <c r="E10" s="6"/>
    </row>
    <row r="11" spans="1:13">
      <c r="A11" s="33"/>
      <c r="B11" s="6"/>
      <c r="C11" s="6"/>
      <c r="D11" s="6"/>
      <c r="E11" s="6"/>
    </row>
    <row r="12" spans="1:13">
      <c r="A12" s="34"/>
      <c r="B12" s="56"/>
      <c r="C12" s="56"/>
      <c r="D12" s="56"/>
      <c r="E12" s="56"/>
    </row>
    <row r="13" spans="1:13">
      <c r="A13" s="33"/>
      <c r="B13" s="6"/>
      <c r="C13" s="6"/>
      <c r="D13" s="6"/>
      <c r="E13" s="6"/>
    </row>
    <row r="14" spans="1:13">
      <c r="A14" s="33"/>
      <c r="B14" s="6"/>
      <c r="C14" s="6"/>
      <c r="D14" s="6"/>
      <c r="E14" s="6"/>
    </row>
    <row r="15" spans="1:13">
      <c r="A15" s="35"/>
      <c r="B15" s="56"/>
      <c r="C15" s="56"/>
      <c r="D15" s="56"/>
      <c r="E15" s="56"/>
    </row>
    <row r="16" spans="1:13">
      <c r="A16" s="33"/>
      <c r="B16" s="6"/>
      <c r="C16" s="6"/>
      <c r="D16" s="6"/>
      <c r="E16" s="6"/>
    </row>
    <row r="17" spans="1:6">
      <c r="A17" s="33"/>
      <c r="B17" s="6"/>
      <c r="C17" s="6"/>
      <c r="D17" s="6"/>
      <c r="E17" s="6"/>
    </row>
    <row r="18" spans="1:6">
      <c r="A18" s="33"/>
      <c r="B18" s="6"/>
      <c r="C18" s="6"/>
      <c r="D18" s="6"/>
      <c r="E18" s="6"/>
    </row>
    <row r="19" spans="1:6">
      <c r="A19" s="33"/>
      <c r="B19" s="6"/>
      <c r="C19" s="6"/>
      <c r="D19" s="6"/>
      <c r="E19" s="6"/>
    </row>
    <row r="20" spans="1:6">
      <c r="A20" s="33"/>
      <c r="B20" s="6"/>
      <c r="C20" s="6"/>
      <c r="D20" s="6"/>
      <c r="E20" s="6"/>
    </row>
    <row r="21" spans="1:6">
      <c r="A21" s="3"/>
      <c r="B21" s="33"/>
      <c r="C21" s="33"/>
      <c r="D21" s="33"/>
      <c r="E21" s="33"/>
    </row>
    <row r="22" spans="1:6">
      <c r="A22" s="51"/>
      <c r="B22" s="57"/>
      <c r="C22" s="57"/>
      <c r="D22" s="57"/>
      <c r="E22" s="57"/>
    </row>
    <row r="23" spans="1:6">
      <c r="A23" s="390"/>
      <c r="B23" s="390"/>
      <c r="C23" s="72"/>
      <c r="D23" s="72"/>
      <c r="E23" s="72"/>
      <c r="F23" s="72"/>
    </row>
    <row r="24" spans="1:6">
      <c r="A24" s="8"/>
    </row>
    <row r="25" spans="1:6">
      <c r="A25" s="8"/>
    </row>
    <row r="26" spans="1:6">
      <c r="A26" s="9"/>
    </row>
    <row r="27" spans="1:6">
      <c r="A27" s="2"/>
    </row>
    <row r="28" spans="1:6">
      <c r="A28" s="8"/>
    </row>
    <row r="29" spans="1:6">
      <c r="A29" s="30"/>
      <c r="B29" s="31"/>
      <c r="C29" s="31"/>
      <c r="D29" s="31"/>
      <c r="E29" s="31"/>
    </row>
    <row r="30" spans="1:6">
      <c r="A30" s="2"/>
    </row>
    <row r="31" spans="1:6">
      <c r="A31" s="2"/>
    </row>
    <row r="32" spans="1:6">
      <c r="A32" s="16"/>
    </row>
    <row r="33" spans="1:6">
      <c r="A33" s="371"/>
      <c r="B33" s="371"/>
      <c r="C33" s="72"/>
      <c r="D33" s="72"/>
      <c r="E33" s="72"/>
      <c r="F33" s="72"/>
    </row>
    <row r="34" spans="1:6">
      <c r="A34" s="8"/>
    </row>
    <row r="35" spans="1:6">
      <c r="A35" s="8"/>
    </row>
    <row r="36" spans="1:6">
      <c r="A36" s="9"/>
    </row>
    <row r="37" spans="1:6">
      <c r="A37" s="30"/>
      <c r="B37" s="32"/>
      <c r="C37" s="32"/>
      <c r="D37" s="32"/>
      <c r="E37" s="32"/>
    </row>
    <row r="38" spans="1:6">
      <c r="A38" s="2"/>
    </row>
    <row r="39" spans="1:6">
      <c r="A39" s="2"/>
    </row>
    <row r="40" spans="1:6">
      <c r="A40" s="16"/>
    </row>
    <row r="41" spans="1:6">
      <c r="A41" s="29"/>
    </row>
    <row r="42" spans="1:6">
      <c r="A42" s="39"/>
    </row>
    <row r="43" spans="1:6">
      <c r="A43" s="7"/>
    </row>
    <row r="44" spans="1:6">
      <c r="A44" s="25"/>
      <c r="B44" s="25"/>
      <c r="C44" s="25"/>
      <c r="D44" s="25"/>
      <c r="E44" s="25"/>
      <c r="F44" s="3"/>
    </row>
    <row r="45" spans="1:6">
      <c r="A45" s="25"/>
      <c r="B45" s="25"/>
      <c r="C45" s="39"/>
      <c r="D45" s="39"/>
      <c r="E45" s="39"/>
      <c r="F45" s="42"/>
    </row>
    <row r="46" spans="1:6">
      <c r="A46" s="25"/>
      <c r="B46" s="25"/>
      <c r="C46" s="41"/>
      <c r="D46" s="41"/>
      <c r="E46" s="41"/>
      <c r="F46" s="41"/>
    </row>
    <row r="47" spans="1:6">
      <c r="A47" s="25"/>
      <c r="B47" s="25"/>
      <c r="C47" s="50"/>
      <c r="D47" s="50"/>
      <c r="E47" s="50"/>
      <c r="F47" s="50"/>
    </row>
    <row r="48" spans="1:6">
      <c r="A48" s="29"/>
    </row>
    <row r="49" spans="1:7">
      <c r="A49" s="39"/>
    </row>
    <row r="50" spans="1:7">
      <c r="A50" s="25"/>
      <c r="B50" s="25"/>
      <c r="C50" s="39"/>
      <c r="D50" s="39"/>
      <c r="E50" s="39"/>
      <c r="F50" s="39"/>
    </row>
    <row r="51" spans="1:7">
      <c r="A51" s="25"/>
      <c r="B51" s="25"/>
      <c r="C51" s="45"/>
      <c r="D51" s="45"/>
      <c r="E51" s="45"/>
      <c r="F51" s="45"/>
    </row>
    <row r="52" spans="1:7">
      <c r="A52" s="25"/>
      <c r="B52" s="25"/>
      <c r="C52" s="45"/>
      <c r="D52" s="45"/>
      <c r="E52" s="45"/>
      <c r="F52" s="45"/>
    </row>
    <row r="53" spans="1:7">
      <c r="A53" s="25"/>
      <c r="B53" s="25"/>
      <c r="C53" s="45"/>
      <c r="D53" s="45"/>
      <c r="E53" s="45"/>
      <c r="F53" s="45"/>
    </row>
    <row r="54" spans="1:7">
      <c r="A54" s="25"/>
      <c r="B54" s="25"/>
      <c r="C54" s="39"/>
      <c r="D54" s="25"/>
      <c r="E54" s="25"/>
      <c r="F54" s="39"/>
    </row>
    <row r="55" spans="1:7">
      <c r="A55" s="25"/>
      <c r="B55" s="25"/>
      <c r="C55" s="39"/>
      <c r="D55" s="25"/>
      <c r="E55" s="25"/>
      <c r="F55" s="39"/>
    </row>
    <row r="56" spans="1:7">
      <c r="A56" s="25"/>
      <c r="B56" s="25"/>
      <c r="C56" s="46"/>
      <c r="D56" s="39"/>
      <c r="E56" s="49"/>
      <c r="F56" s="25"/>
    </row>
    <row r="57" spans="1:7">
      <c r="A57" s="25"/>
      <c r="B57" s="25"/>
      <c r="C57" s="50"/>
      <c r="D57" s="25"/>
      <c r="E57" s="25"/>
      <c r="F57" s="25"/>
    </row>
    <row r="58" spans="1:7">
      <c r="A58" s="29"/>
    </row>
    <row r="59" spans="1:7">
      <c r="A59" s="40"/>
      <c r="B59" s="40"/>
      <c r="C59" s="40"/>
      <c r="D59" s="40"/>
      <c r="E59" s="40"/>
    </row>
    <row r="60" spans="1:7">
      <c r="A60" s="25"/>
      <c r="B60" s="25"/>
      <c r="C60" s="25"/>
      <c r="D60" s="39"/>
      <c r="E60" s="39"/>
      <c r="F60" s="39"/>
      <c r="G60" s="39"/>
    </row>
    <row r="61" spans="1:7">
      <c r="A61" s="25"/>
      <c r="B61" s="25"/>
      <c r="C61" s="39"/>
      <c r="D61" s="39"/>
      <c r="E61" s="39"/>
      <c r="F61" s="39"/>
      <c r="G61" s="39"/>
    </row>
    <row r="62" spans="1:7">
      <c r="A62" s="25"/>
      <c r="B62" s="2"/>
      <c r="C62" s="5"/>
      <c r="D62" s="39"/>
      <c r="E62" s="39"/>
      <c r="F62" s="39"/>
      <c r="G62" s="39"/>
    </row>
    <row r="63" spans="1:7">
      <c r="A63" s="25"/>
      <c r="B63" s="25"/>
      <c r="C63" s="39"/>
      <c r="D63" s="39"/>
      <c r="E63" s="39"/>
      <c r="F63" s="39"/>
      <c r="G63" s="39"/>
    </row>
    <row r="64" spans="1:7">
      <c r="A64" s="52"/>
      <c r="B64" s="73"/>
    </row>
    <row r="65" spans="1:13">
      <c r="A65" s="52"/>
      <c r="B65" s="60"/>
    </row>
    <row r="66" spans="1:13" ht="17.399999999999999">
      <c r="A66" s="391"/>
      <c r="B66" s="391"/>
      <c r="C66" s="391"/>
      <c r="D66" s="3"/>
      <c r="E66" s="3"/>
      <c r="F66" s="3"/>
      <c r="G66" s="3"/>
      <c r="H66" s="3"/>
      <c r="I66" s="3"/>
      <c r="J66" s="3"/>
      <c r="K66" s="3"/>
      <c r="L66" s="3"/>
      <c r="M66" s="3"/>
    </row>
    <row r="67" spans="1:13">
      <c r="A67" s="392"/>
      <c r="B67" s="392"/>
      <c r="C67" s="392"/>
      <c r="D67" s="392"/>
      <c r="E67" s="392"/>
      <c r="F67" s="392"/>
      <c r="G67" s="392"/>
      <c r="H67" s="392"/>
      <c r="I67" s="392"/>
      <c r="J67" s="392"/>
      <c r="K67" s="392"/>
    </row>
    <row r="68" spans="1:13">
      <c r="A68" s="392"/>
      <c r="B68" s="392"/>
      <c r="C68" s="392"/>
      <c r="D68" s="392"/>
      <c r="E68" s="392"/>
      <c r="F68" s="392"/>
      <c r="G68" s="392"/>
      <c r="H68" s="392"/>
      <c r="I68" s="392"/>
      <c r="J68" s="392"/>
      <c r="K68" s="392"/>
    </row>
    <row r="69" spans="1:13">
      <c r="A69" s="392"/>
      <c r="B69" s="392"/>
      <c r="C69" s="392"/>
      <c r="D69" s="392"/>
      <c r="E69" s="392"/>
      <c r="F69" s="392"/>
      <c r="G69" s="392"/>
      <c r="H69" s="392"/>
      <c r="I69" s="392"/>
      <c r="J69" s="392"/>
      <c r="K69" s="392"/>
    </row>
    <row r="70" spans="1:13">
      <c r="A70" s="392"/>
      <c r="B70" s="392"/>
      <c r="C70" s="392"/>
      <c r="D70" s="392"/>
      <c r="E70" s="392"/>
      <c r="F70" s="392"/>
      <c r="G70" s="392"/>
      <c r="H70" s="392"/>
      <c r="I70" s="392"/>
      <c r="J70" s="392"/>
      <c r="K70" s="392"/>
    </row>
    <row r="71" spans="1:13">
      <c r="A71" s="392"/>
      <c r="B71" s="392"/>
      <c r="C71" s="392"/>
      <c r="D71" s="392"/>
      <c r="E71" s="392"/>
      <c r="F71" s="392"/>
      <c r="G71" s="392"/>
      <c r="H71" s="132"/>
      <c r="I71" s="132"/>
      <c r="J71" s="132"/>
      <c r="K71" s="132"/>
    </row>
    <row r="72" spans="1:13">
      <c r="A72" s="392"/>
      <c r="B72" s="392"/>
      <c r="C72" s="392"/>
      <c r="D72" s="392"/>
      <c r="E72" s="392"/>
      <c r="F72" s="392"/>
      <c r="G72" s="392"/>
      <c r="H72" s="132"/>
      <c r="I72" s="132"/>
      <c r="J72" s="132"/>
      <c r="K72" s="132"/>
    </row>
    <row r="73" spans="1:13">
      <c r="A73" s="394"/>
      <c r="B73" s="394"/>
      <c r="C73" s="394"/>
    </row>
    <row r="74" spans="1:13">
      <c r="A74" s="85"/>
      <c r="B74" s="85"/>
      <c r="C74" s="85"/>
    </row>
    <row r="75" spans="1:13">
      <c r="A75" s="88"/>
      <c r="B75" s="89"/>
      <c r="C75" s="89"/>
    </row>
    <row r="76" spans="1:13">
      <c r="A76" s="88"/>
      <c r="B76" s="90"/>
      <c r="C76" s="90"/>
    </row>
    <row r="77" spans="1:13">
      <c r="A77" s="88"/>
      <c r="B77" s="91"/>
      <c r="C77" s="91"/>
    </row>
    <row r="78" spans="1:13">
      <c r="A78" s="88"/>
      <c r="B78" s="92"/>
      <c r="C78" s="92"/>
    </row>
    <row r="79" spans="1:13">
      <c r="A79" s="88"/>
      <c r="B79" s="92"/>
      <c r="C79" s="92"/>
    </row>
    <row r="80" spans="1:13">
      <c r="A80" s="88"/>
      <c r="B80" s="395"/>
      <c r="C80" s="395"/>
    </row>
    <row r="81" spans="1:3">
      <c r="A81" s="88"/>
      <c r="B81" s="395"/>
      <c r="C81" s="395"/>
    </row>
    <row r="82" spans="1:3">
      <c r="A82" s="88"/>
      <c r="B82" s="396"/>
      <c r="C82" s="396"/>
    </row>
    <row r="83" spans="1:3">
      <c r="A83" s="88"/>
      <c r="B83" s="397"/>
      <c r="C83" s="397"/>
    </row>
    <row r="84" spans="1:3">
      <c r="A84" s="88"/>
      <c r="B84" s="397"/>
      <c r="C84" s="397"/>
    </row>
    <row r="85" spans="1:3">
      <c r="A85" s="88"/>
      <c r="B85" s="397"/>
      <c r="C85" s="397"/>
    </row>
    <row r="86" spans="1:3">
      <c r="A86" s="88"/>
      <c r="B86" s="397"/>
      <c r="C86" s="397"/>
    </row>
    <row r="87" spans="1:3">
      <c r="A87" s="88"/>
      <c r="B87" s="398"/>
      <c r="C87" s="398"/>
    </row>
    <row r="88" spans="1:3">
      <c r="A88" s="399"/>
      <c r="B88" s="399"/>
      <c r="C88" s="83"/>
    </row>
    <row r="89" spans="1:3">
      <c r="A89" s="86"/>
      <c r="B89" s="87"/>
      <c r="C89" s="83"/>
    </row>
    <row r="90" spans="1:3">
      <c r="A90" s="86"/>
      <c r="B90" s="87"/>
      <c r="C90" s="83"/>
    </row>
    <row r="91" spans="1:3">
      <c r="A91" s="86"/>
      <c r="B91" s="87"/>
      <c r="C91" s="83"/>
    </row>
    <row r="92" spans="1:3">
      <c r="A92" s="86"/>
      <c r="B92" s="87"/>
      <c r="C92" s="83"/>
    </row>
    <row r="93" spans="1:3">
      <c r="A93" s="86"/>
      <c r="B93" s="87"/>
      <c r="C93" s="83"/>
    </row>
    <row r="94" spans="1:3">
      <c r="A94" s="86"/>
      <c r="B94" s="87"/>
      <c r="C94" s="83"/>
    </row>
    <row r="95" spans="1:3">
      <c r="A95" s="86"/>
      <c r="B95" s="87"/>
      <c r="C95" s="83"/>
    </row>
    <row r="96" spans="1:3">
      <c r="A96" s="86"/>
      <c r="B96" s="87"/>
      <c r="C96" s="83"/>
    </row>
    <row r="97" spans="1:5">
      <c r="A97" s="86"/>
      <c r="B97" s="87"/>
      <c r="C97" s="83"/>
    </row>
    <row r="98" spans="1:5">
      <c r="A98" s="86"/>
      <c r="B98" s="87"/>
      <c r="C98" s="83"/>
    </row>
    <row r="99" spans="1:5">
      <c r="A99" s="86"/>
      <c r="B99" s="87"/>
      <c r="C99" s="83"/>
    </row>
    <row r="100" spans="1:5">
      <c r="A100" s="93"/>
      <c r="B100" s="87"/>
      <c r="C100" s="83"/>
    </row>
    <row r="101" spans="1:5">
      <c r="A101" s="93"/>
      <c r="B101" s="94"/>
      <c r="C101" s="83"/>
    </row>
    <row r="102" spans="1:5">
      <c r="A102" s="29"/>
    </row>
    <row r="103" spans="1:5">
      <c r="A103" s="29"/>
    </row>
    <row r="104" spans="1:5" ht="18">
      <c r="A104" s="74"/>
    </row>
    <row r="105" spans="1:5">
      <c r="A105" s="389"/>
      <c r="B105" s="389"/>
      <c r="C105" s="389"/>
      <c r="D105" s="389"/>
      <c r="E105" s="389"/>
    </row>
    <row r="106" spans="1:5">
      <c r="A106" s="3"/>
      <c r="B106" s="72"/>
      <c r="C106" s="72"/>
      <c r="D106" s="72"/>
      <c r="E106" s="72"/>
    </row>
    <row r="107" spans="1:5">
      <c r="A107" s="33"/>
      <c r="B107" s="6"/>
      <c r="C107" s="6"/>
      <c r="D107" s="6"/>
      <c r="E107" s="6"/>
    </row>
    <row r="108" spans="1:5">
      <c r="A108" s="33"/>
      <c r="B108" s="6"/>
      <c r="C108" s="6"/>
      <c r="D108" s="6"/>
      <c r="E108" s="6"/>
    </row>
    <row r="109" spans="1:5">
      <c r="A109" s="34"/>
      <c r="B109" s="56"/>
      <c r="C109" s="56"/>
      <c r="D109" s="56"/>
      <c r="E109" s="56"/>
    </row>
    <row r="110" spans="1:5">
      <c r="A110" s="33"/>
      <c r="B110" s="6"/>
      <c r="C110" s="6"/>
      <c r="D110" s="6"/>
      <c r="E110" s="6"/>
    </row>
    <row r="111" spans="1:5">
      <c r="A111" s="33"/>
      <c r="B111" s="6"/>
      <c r="C111" s="6"/>
      <c r="D111" s="6"/>
      <c r="E111" s="6"/>
    </row>
    <row r="112" spans="1:5">
      <c r="A112" s="35"/>
      <c r="B112" s="56"/>
      <c r="C112" s="56"/>
      <c r="D112" s="56"/>
      <c r="E112" s="56"/>
    </row>
    <row r="113" spans="1:7">
      <c r="A113" s="33"/>
      <c r="B113" s="6"/>
      <c r="C113" s="6"/>
      <c r="D113" s="6"/>
      <c r="E113" s="6"/>
    </row>
    <row r="114" spans="1:7">
      <c r="A114" s="33"/>
      <c r="B114" s="6"/>
      <c r="C114" s="6"/>
      <c r="D114" s="6"/>
      <c r="E114" s="6"/>
    </row>
    <row r="115" spans="1:7">
      <c r="A115" s="33"/>
      <c r="B115" s="6"/>
      <c r="C115" s="6"/>
      <c r="D115" s="6"/>
      <c r="E115" s="6"/>
    </row>
    <row r="116" spans="1:7">
      <c r="A116" s="33"/>
      <c r="B116" s="6"/>
      <c r="C116" s="6"/>
      <c r="D116" s="6"/>
      <c r="E116" s="6"/>
    </row>
    <row r="117" spans="1:7">
      <c r="A117" s="33"/>
      <c r="B117" s="6"/>
      <c r="C117" s="6"/>
      <c r="D117" s="6"/>
      <c r="E117" s="6"/>
    </row>
    <row r="118" spans="1:7">
      <c r="A118" s="3"/>
      <c r="B118" s="33"/>
      <c r="C118" s="33"/>
      <c r="D118" s="33"/>
      <c r="E118" s="33"/>
    </row>
    <row r="119" spans="1:7">
      <c r="A119" s="51"/>
      <c r="B119" s="57"/>
      <c r="C119" s="57"/>
      <c r="D119" s="57"/>
      <c r="E119" s="57"/>
    </row>
    <row r="120" spans="1:7">
      <c r="A120" s="390"/>
      <c r="B120" s="390"/>
      <c r="C120" s="72"/>
      <c r="D120" s="72"/>
      <c r="E120" s="72"/>
      <c r="F120" s="72"/>
    </row>
    <row r="121" spans="1:7">
      <c r="A121" s="31"/>
      <c r="B121" s="31"/>
      <c r="C121" s="31"/>
      <c r="D121" s="31"/>
    </row>
    <row r="122" spans="1:7">
      <c r="A122" s="32"/>
      <c r="B122" s="32"/>
      <c r="C122" s="32"/>
      <c r="D122" s="32"/>
    </row>
    <row r="123" spans="1:7">
      <c r="A123" s="29"/>
    </row>
    <row r="124" spans="1:7">
      <c r="A124" s="50"/>
      <c r="B124" s="50"/>
      <c r="C124" s="50"/>
      <c r="D124" s="50"/>
    </row>
    <row r="125" spans="1:7">
      <c r="A125" s="29"/>
    </row>
    <row r="126" spans="1:7">
      <c r="A126" s="50"/>
    </row>
    <row r="127" spans="1:7">
      <c r="A127" s="29"/>
    </row>
    <row r="128" spans="1:7">
      <c r="A128" s="25"/>
      <c r="B128" s="25"/>
      <c r="C128" s="40"/>
      <c r="D128" s="40"/>
      <c r="E128" s="40"/>
      <c r="F128" s="40"/>
      <c r="G128" s="40"/>
    </row>
    <row r="129" spans="1:7">
      <c r="A129" s="25"/>
      <c r="B129" s="25"/>
      <c r="C129" s="25"/>
      <c r="D129" s="39"/>
      <c r="E129" s="39"/>
      <c r="F129" s="39"/>
      <c r="G129" s="39"/>
    </row>
    <row r="130" spans="1:7">
      <c r="A130" s="25"/>
      <c r="B130" s="25"/>
      <c r="C130" s="39"/>
      <c r="D130" s="39"/>
      <c r="E130" s="39"/>
      <c r="F130" s="39"/>
      <c r="G130" s="39"/>
    </row>
    <row r="131" spans="1:7">
      <c r="A131" s="25"/>
      <c r="B131" s="2"/>
      <c r="C131" s="5"/>
      <c r="D131" s="39"/>
      <c r="E131" s="39"/>
      <c r="F131" s="39"/>
      <c r="G131" s="39"/>
    </row>
    <row r="132" spans="1:7">
      <c r="A132" s="25"/>
      <c r="B132" s="25"/>
      <c r="C132" s="39"/>
      <c r="D132" s="39"/>
      <c r="E132" s="39"/>
      <c r="F132" s="39"/>
      <c r="G132" s="39"/>
    </row>
    <row r="133" spans="1:7">
      <c r="A133" s="52"/>
      <c r="B133" s="73"/>
    </row>
    <row r="134" spans="1:7">
      <c r="A134" s="52"/>
      <c r="B134" s="60"/>
    </row>
    <row r="135" spans="1:7">
      <c r="A135" s="29"/>
    </row>
    <row r="136" spans="1:7">
      <c r="A136" s="29"/>
    </row>
    <row r="137" spans="1:7" ht="18">
      <c r="A137" s="74"/>
    </row>
    <row r="138" spans="1:7">
      <c r="A138" s="389"/>
      <c r="B138" s="389"/>
      <c r="C138" s="389"/>
      <c r="D138" s="389"/>
      <c r="E138" s="389"/>
    </row>
    <row r="139" spans="1:7">
      <c r="A139" s="390"/>
      <c r="B139" s="390"/>
      <c r="C139" s="72"/>
      <c r="D139" s="72"/>
      <c r="E139" s="72"/>
      <c r="F139" s="72"/>
    </row>
    <row r="140" spans="1:7">
      <c r="A140" s="72"/>
      <c r="B140" s="72"/>
      <c r="C140" s="72"/>
      <c r="D140" s="72"/>
    </row>
    <row r="141" spans="1:7">
      <c r="A141" s="56"/>
      <c r="B141" s="56"/>
      <c r="C141" s="56"/>
      <c r="D141" s="56"/>
    </row>
    <row r="142" spans="1:7">
      <c r="A142" s="31"/>
      <c r="B142" s="31"/>
      <c r="C142" s="31"/>
      <c r="D142" s="31"/>
    </row>
    <row r="143" spans="1:7">
      <c r="A143" s="56"/>
      <c r="B143" s="56"/>
      <c r="C143" s="56"/>
      <c r="D143" s="56"/>
    </row>
    <row r="144" spans="1:7">
      <c r="A144" s="57"/>
      <c r="B144" s="57"/>
      <c r="C144" s="57"/>
      <c r="D144" s="57"/>
    </row>
    <row r="145" spans="1:7">
      <c r="A145" s="32"/>
      <c r="B145" s="32"/>
      <c r="C145" s="32"/>
      <c r="D145" s="32"/>
    </row>
    <row r="146" spans="1:7">
      <c r="A146" s="50"/>
      <c r="B146" s="50"/>
      <c r="C146" s="50"/>
      <c r="D146" s="50"/>
    </row>
    <row r="147" spans="1:7">
      <c r="A147" s="50"/>
    </row>
    <row r="148" spans="1:7">
      <c r="A148" s="25"/>
      <c r="B148" s="25"/>
      <c r="C148" s="40"/>
      <c r="D148" s="40"/>
      <c r="E148" s="40"/>
      <c r="F148" s="40"/>
      <c r="G148" s="40"/>
    </row>
    <row r="149" spans="1:7">
      <c r="A149" s="25"/>
      <c r="B149" s="25"/>
      <c r="C149" s="25"/>
      <c r="D149" s="39"/>
      <c r="E149" s="39"/>
      <c r="F149" s="39"/>
      <c r="G149" s="39"/>
    </row>
    <row r="150" spans="1:7">
      <c r="A150" s="25"/>
      <c r="B150" s="25"/>
      <c r="C150" s="39"/>
      <c r="D150" s="39"/>
      <c r="E150" s="39"/>
      <c r="F150" s="39"/>
      <c r="G150" s="39"/>
    </row>
    <row r="151" spans="1:7">
      <c r="A151" s="25"/>
      <c r="B151" s="2"/>
      <c r="C151" s="5"/>
      <c r="D151" s="39"/>
      <c r="E151" s="39"/>
      <c r="F151" s="39"/>
      <c r="G151" s="39"/>
    </row>
    <row r="152" spans="1:7">
      <c r="A152" s="25"/>
      <c r="B152" s="25"/>
      <c r="C152" s="39"/>
      <c r="D152" s="39"/>
      <c r="E152" s="39"/>
      <c r="F152" s="39"/>
      <c r="G152" s="39"/>
    </row>
    <row r="153" spans="1:7">
      <c r="A153" s="52"/>
      <c r="B153" s="73"/>
    </row>
    <row r="154" spans="1:7">
      <c r="A154" s="52"/>
      <c r="B154" s="60"/>
    </row>
    <row r="155" spans="1:7">
      <c r="A155" s="133"/>
      <c r="B155" s="134"/>
      <c r="C155" s="135"/>
      <c r="D155" s="135"/>
      <c r="E155" s="136"/>
    </row>
    <row r="156" spans="1:7">
      <c r="A156" s="137"/>
      <c r="B156" s="138"/>
      <c r="C156" s="138"/>
      <c r="D156" s="139"/>
      <c r="E156" s="140"/>
    </row>
    <row r="157" spans="1:7">
      <c r="A157" s="141"/>
      <c r="B157" s="142"/>
      <c r="C157" s="131"/>
      <c r="D157" s="131"/>
      <c r="E157" s="143"/>
    </row>
    <row r="158" spans="1:7">
      <c r="A158" s="141"/>
      <c r="B158" s="142"/>
      <c r="C158" s="144"/>
      <c r="D158" s="145"/>
      <c r="E158" s="146"/>
    </row>
    <row r="159" spans="1:7">
      <c r="A159" s="147"/>
      <c r="B159" s="115"/>
      <c r="C159" s="114"/>
      <c r="D159" s="116"/>
      <c r="E159" s="148"/>
    </row>
    <row r="160" spans="1:7">
      <c r="A160" s="149"/>
      <c r="B160" s="150"/>
      <c r="C160" s="151"/>
      <c r="D160" s="151"/>
      <c r="E160" s="152"/>
    </row>
    <row r="161" spans="1:13" ht="17.399999999999999">
      <c r="A161" s="391"/>
      <c r="B161" s="391"/>
      <c r="C161" s="391"/>
      <c r="D161" s="62"/>
      <c r="E161" s="62"/>
      <c r="F161" s="62"/>
      <c r="G161" s="62"/>
      <c r="H161" s="62"/>
      <c r="I161" s="62"/>
      <c r="J161" s="3"/>
      <c r="K161" s="3"/>
      <c r="L161" s="3"/>
      <c r="M161" s="3"/>
    </row>
    <row r="162" spans="1:13">
      <c r="A162" s="392"/>
      <c r="B162" s="392"/>
      <c r="C162" s="392"/>
      <c r="D162" s="392"/>
      <c r="E162" s="392"/>
      <c r="F162" s="392"/>
      <c r="G162" s="392"/>
      <c r="H162" s="62"/>
      <c r="I162" s="62"/>
      <c r="J162" s="62"/>
    </row>
    <row r="163" spans="1:13">
      <c r="A163" s="63"/>
      <c r="B163" s="62"/>
      <c r="C163" s="62"/>
      <c r="D163" s="62"/>
      <c r="E163" s="62"/>
      <c r="F163" s="62"/>
      <c r="G163" s="62"/>
      <c r="H163" s="62"/>
      <c r="I163" s="62"/>
      <c r="J163" s="62"/>
    </row>
    <row r="164" spans="1:13">
      <c r="A164" s="393"/>
      <c r="B164" s="393"/>
      <c r="C164" s="393"/>
      <c r="D164" s="393"/>
      <c r="E164" s="393"/>
      <c r="F164" s="393"/>
      <c r="G164" s="393"/>
      <c r="H164" s="393"/>
      <c r="I164" s="393"/>
      <c r="J164" s="393"/>
    </row>
    <row r="165" spans="1:13">
      <c r="A165" s="393"/>
      <c r="B165" s="393"/>
      <c r="C165" s="393"/>
      <c r="D165" s="393"/>
      <c r="E165" s="393"/>
      <c r="F165" s="393"/>
      <c r="G165" s="393"/>
      <c r="H165" s="393"/>
      <c r="I165" s="393"/>
      <c r="J165" s="393"/>
    </row>
    <row r="166" spans="1:13">
      <c r="A166" s="29"/>
    </row>
    <row r="167" spans="1:13">
      <c r="A167" s="29"/>
    </row>
    <row r="168" spans="1:13">
      <c r="A168" s="72"/>
    </row>
    <row r="169" spans="1:13">
      <c r="A169" s="389"/>
      <c r="B169" s="389"/>
      <c r="C169" s="389"/>
      <c r="D169" s="389"/>
      <c r="E169" s="389"/>
    </row>
    <row r="170" spans="1:13">
      <c r="A170" s="390"/>
      <c r="B170" s="390"/>
      <c r="C170" s="72"/>
      <c r="D170" s="72"/>
      <c r="E170" s="72"/>
      <c r="F170" s="72"/>
    </row>
    <row r="171" spans="1:13">
      <c r="A171" s="72"/>
      <c r="B171" s="72"/>
      <c r="C171" s="72"/>
      <c r="D171" s="72"/>
    </row>
    <row r="172" spans="1:13">
      <c r="A172" s="8"/>
    </row>
    <row r="173" spans="1:13">
      <c r="A173" s="8"/>
    </row>
    <row r="174" spans="1:13">
      <c r="A174" s="9"/>
    </row>
    <row r="175" spans="1:13">
      <c r="A175" s="2"/>
    </row>
    <row r="176" spans="1:13">
      <c r="A176" s="8"/>
    </row>
    <row r="177" spans="1:6">
      <c r="A177" s="33"/>
    </row>
    <row r="178" spans="1:6">
      <c r="A178" s="33"/>
    </row>
    <row r="179" spans="1:6">
      <c r="A179" s="34"/>
      <c r="B179" s="56"/>
      <c r="C179" s="56"/>
      <c r="D179" s="56"/>
      <c r="E179" s="56"/>
    </row>
    <row r="180" spans="1:6">
      <c r="A180" s="33"/>
    </row>
    <row r="181" spans="1:6">
      <c r="A181" s="33"/>
    </row>
    <row r="182" spans="1:6">
      <c r="A182" s="30"/>
      <c r="B182" s="31"/>
      <c r="C182" s="31"/>
      <c r="D182" s="31"/>
      <c r="E182" s="31"/>
    </row>
    <row r="183" spans="1:6">
      <c r="A183" s="35"/>
      <c r="B183" s="56"/>
      <c r="C183" s="56"/>
      <c r="D183" s="56"/>
      <c r="E183" s="56"/>
    </row>
    <row r="184" spans="1:6">
      <c r="A184" s="2"/>
    </row>
    <row r="185" spans="1:6">
      <c r="A185" s="2"/>
    </row>
    <row r="186" spans="1:6">
      <c r="A186" s="16"/>
    </row>
    <row r="187" spans="1:6">
      <c r="A187" s="33"/>
    </row>
    <row r="188" spans="1:6">
      <c r="A188" s="33"/>
    </row>
    <row r="189" spans="1:6">
      <c r="A189" s="33"/>
    </row>
    <row r="190" spans="1:6">
      <c r="A190" s="33"/>
    </row>
    <row r="191" spans="1:6">
      <c r="A191" s="33"/>
    </row>
    <row r="192" spans="1:6">
      <c r="A192" s="371"/>
      <c r="B192" s="371"/>
      <c r="C192" s="72"/>
      <c r="D192" s="72"/>
      <c r="E192" s="72"/>
      <c r="F192" s="72"/>
    </row>
    <row r="193" spans="1:6">
      <c r="A193" s="8"/>
    </row>
    <row r="194" spans="1:6">
      <c r="A194" s="8"/>
    </row>
    <row r="195" spans="1:6">
      <c r="A195" s="9"/>
    </row>
    <row r="196" spans="1:6">
      <c r="A196" s="57"/>
      <c r="B196" s="57"/>
      <c r="C196" s="57"/>
      <c r="D196" s="57"/>
    </row>
    <row r="197" spans="1:6">
      <c r="A197" s="30"/>
      <c r="B197" s="32"/>
      <c r="C197" s="32"/>
      <c r="D197" s="32"/>
      <c r="E197" s="32"/>
    </row>
    <row r="198" spans="1:6">
      <c r="A198" s="2"/>
    </row>
    <row r="199" spans="1:6">
      <c r="A199" s="2"/>
    </row>
    <row r="200" spans="1:6">
      <c r="A200" s="16"/>
    </row>
    <row r="201" spans="1:6">
      <c r="A201" s="29"/>
    </row>
    <row r="202" spans="1:6">
      <c r="A202" s="39"/>
    </row>
    <row r="203" spans="1:6">
      <c r="A203" s="7"/>
    </row>
    <row r="204" spans="1:6">
      <c r="A204" s="25"/>
      <c r="B204" s="25"/>
      <c r="C204" s="25"/>
      <c r="D204" s="25"/>
      <c r="E204" s="25"/>
      <c r="F204" s="3"/>
    </row>
    <row r="205" spans="1:6">
      <c r="A205" s="25"/>
      <c r="B205" s="25"/>
      <c r="C205" s="39"/>
      <c r="D205" s="39"/>
      <c r="E205" s="39"/>
      <c r="F205" s="42"/>
    </row>
    <row r="206" spans="1:6">
      <c r="A206" s="25"/>
      <c r="B206" s="25"/>
      <c r="C206" s="41"/>
      <c r="D206" s="41"/>
      <c r="E206" s="41"/>
      <c r="F206" s="41"/>
    </row>
    <row r="207" spans="1:6">
      <c r="A207" s="25"/>
      <c r="B207" s="25"/>
      <c r="C207" s="50"/>
      <c r="D207" s="50"/>
      <c r="E207" s="50"/>
      <c r="F207" s="50"/>
    </row>
    <row r="208" spans="1:6">
      <c r="A208" s="29"/>
    </row>
    <row r="209" spans="1:7">
      <c r="A209" s="39"/>
    </row>
    <row r="210" spans="1:7">
      <c r="A210" s="25"/>
      <c r="B210" s="25"/>
      <c r="C210" s="39"/>
      <c r="D210" s="39"/>
      <c r="E210" s="39"/>
      <c r="F210" s="39"/>
    </row>
    <row r="211" spans="1:7">
      <c r="A211" s="25"/>
      <c r="B211" s="25"/>
      <c r="C211" s="45"/>
      <c r="D211" s="45"/>
      <c r="E211" s="45"/>
      <c r="F211" s="45"/>
    </row>
    <row r="212" spans="1:7">
      <c r="A212" s="25"/>
      <c r="B212" s="25"/>
      <c r="C212" s="45"/>
      <c r="D212" s="45"/>
      <c r="E212" s="45"/>
      <c r="F212" s="45"/>
    </row>
    <row r="213" spans="1:7">
      <c r="A213" s="25"/>
      <c r="B213" s="25"/>
      <c r="C213" s="45"/>
      <c r="D213" s="45"/>
      <c r="E213" s="45"/>
      <c r="F213" s="45"/>
    </row>
    <row r="214" spans="1:7">
      <c r="A214" s="25"/>
      <c r="B214" s="25"/>
      <c r="C214" s="39"/>
      <c r="D214" s="25"/>
      <c r="E214" s="25"/>
      <c r="F214" s="39"/>
    </row>
    <row r="215" spans="1:7">
      <c r="A215" s="25"/>
      <c r="B215" s="25"/>
      <c r="C215" s="39"/>
      <c r="D215" s="25"/>
      <c r="E215" s="25"/>
      <c r="F215" s="39"/>
    </row>
    <row r="216" spans="1:7">
      <c r="A216" s="25"/>
      <c r="B216" s="25"/>
      <c r="C216" s="46"/>
      <c r="D216" s="39"/>
      <c r="E216" s="49"/>
      <c r="F216" s="25"/>
    </row>
    <row r="217" spans="1:7">
      <c r="A217" s="25"/>
      <c r="B217" s="25"/>
      <c r="C217" s="50"/>
      <c r="D217" s="25"/>
      <c r="E217" s="25"/>
      <c r="F217" s="25"/>
    </row>
    <row r="218" spans="1:7">
      <c r="A218" s="29"/>
    </row>
    <row r="219" spans="1:7">
      <c r="A219" s="40"/>
      <c r="B219" s="40"/>
      <c r="C219" s="40"/>
      <c r="D219" s="40"/>
      <c r="E219" s="40"/>
    </row>
    <row r="220" spans="1:7">
      <c r="A220" s="25"/>
      <c r="B220" s="25"/>
      <c r="C220" s="25"/>
      <c r="D220" s="39"/>
      <c r="E220" s="39"/>
      <c r="F220" s="39"/>
      <c r="G220" s="39"/>
    </row>
    <row r="221" spans="1:7">
      <c r="A221" s="25"/>
      <c r="B221" s="25"/>
      <c r="C221" s="39"/>
      <c r="D221" s="39"/>
      <c r="E221" s="39"/>
      <c r="F221" s="39"/>
      <c r="G221" s="39"/>
    </row>
    <row r="222" spans="1:7">
      <c r="A222" s="25"/>
      <c r="B222" s="2"/>
      <c r="C222" s="5"/>
      <c r="D222" s="39"/>
      <c r="E222" s="39"/>
      <c r="F222" s="39"/>
      <c r="G222" s="39"/>
    </row>
    <row r="223" spans="1:7">
      <c r="A223" s="25"/>
      <c r="B223" s="25"/>
      <c r="C223" s="39"/>
      <c r="D223" s="39"/>
      <c r="E223" s="39"/>
      <c r="F223" s="39"/>
      <c r="G223" s="39"/>
    </row>
    <row r="224" spans="1:7">
      <c r="A224" s="52"/>
      <c r="B224" s="73"/>
    </row>
    <row r="225" spans="1:10">
      <c r="A225" s="52"/>
      <c r="B225" s="60"/>
    </row>
    <row r="226" spans="1:10">
      <c r="A226" s="62"/>
      <c r="B226" s="3"/>
      <c r="C226" s="3"/>
      <c r="D226" s="3"/>
      <c r="E226" s="3"/>
      <c r="F226" s="3"/>
      <c r="G226" s="3"/>
      <c r="H226" s="3"/>
      <c r="I226" s="3"/>
      <c r="J226" s="3"/>
    </row>
    <row r="227" spans="1:10">
      <c r="A227" s="106"/>
      <c r="B227" s="107"/>
    </row>
    <row r="228" spans="1:10">
      <c r="A228" s="108"/>
      <c r="B228" s="109"/>
    </row>
    <row r="229" spans="1:10">
      <c r="A229" s="69"/>
      <c r="B229" s="68"/>
    </row>
    <row r="230" spans="1:10">
      <c r="A230" s="69"/>
      <c r="B230" s="95"/>
    </row>
    <row r="231" spans="1:10">
      <c r="A231" s="69"/>
      <c r="B231" s="95"/>
    </row>
    <row r="232" spans="1:10">
      <c r="A232" s="69"/>
      <c r="B232" s="95"/>
    </row>
    <row r="233" spans="1:10">
      <c r="A233" s="69"/>
      <c r="B233" s="95"/>
    </row>
    <row r="234" spans="1:10">
      <c r="A234" s="103"/>
      <c r="B234" s="97"/>
    </row>
    <row r="235" spans="1:10">
      <c r="A235" s="69"/>
      <c r="B235" s="95"/>
    </row>
    <row r="236" spans="1:10">
      <c r="A236" s="69"/>
      <c r="B236" s="95"/>
    </row>
    <row r="237" spans="1:10">
      <c r="A237" s="69"/>
      <c r="B237" s="95"/>
    </row>
    <row r="238" spans="1:10">
      <c r="A238" s="71"/>
      <c r="B238" s="96"/>
    </row>
    <row r="239" spans="1:10">
      <c r="A239" s="106"/>
      <c r="B239" s="107"/>
    </row>
    <row r="240" spans="1:10">
      <c r="A240" s="108"/>
      <c r="B240" s="109"/>
    </row>
    <row r="241" spans="1:3">
      <c r="A241" s="99"/>
      <c r="B241" s="98"/>
    </row>
    <row r="242" spans="1:3">
      <c r="A242" s="99"/>
      <c r="B242" s="98"/>
    </row>
    <row r="243" spans="1:3">
      <c r="A243" s="99"/>
      <c r="B243" s="98"/>
    </row>
    <row r="244" spans="1:3">
      <c r="A244" s="99"/>
      <c r="B244" s="98"/>
    </row>
    <row r="245" spans="1:3">
      <c r="A245" s="102"/>
      <c r="B245" s="100"/>
    </row>
    <row r="246" spans="1:3">
      <c r="A246" s="99"/>
      <c r="B246" s="98"/>
    </row>
    <row r="247" spans="1:3">
      <c r="A247" s="99"/>
      <c r="B247" s="98"/>
    </row>
    <row r="248" spans="1:3">
      <c r="A248" s="99"/>
      <c r="B248" s="98"/>
    </row>
    <row r="249" spans="1:3">
      <c r="A249" s="99"/>
      <c r="B249" s="98"/>
    </row>
    <row r="250" spans="1:3">
      <c r="A250" s="99"/>
      <c r="B250" s="101"/>
    </row>
    <row r="251" spans="1:3">
      <c r="A251" s="106"/>
      <c r="B251" s="112"/>
      <c r="C251" s="106"/>
    </row>
    <row r="252" spans="1:3">
      <c r="A252" s="108"/>
      <c r="B252" s="109"/>
      <c r="C252" s="110"/>
    </row>
    <row r="253" spans="1:3">
      <c r="A253" s="69"/>
      <c r="B253" s="70"/>
      <c r="C253" s="68"/>
    </row>
    <row r="254" spans="1:3">
      <c r="A254" s="69"/>
      <c r="B254" s="70"/>
      <c r="C254" s="95"/>
    </row>
    <row r="255" spans="1:3">
      <c r="A255" s="69"/>
      <c r="B255" s="70"/>
      <c r="C255" s="95"/>
    </row>
    <row r="256" spans="1:3">
      <c r="A256" s="69"/>
      <c r="B256" s="70"/>
      <c r="C256" s="95"/>
    </row>
    <row r="257" spans="1:3">
      <c r="A257" s="69"/>
      <c r="B257" s="70"/>
      <c r="C257" s="95"/>
    </row>
    <row r="258" spans="1:3">
      <c r="A258" s="104"/>
      <c r="B258" s="105"/>
      <c r="C258" s="97"/>
    </row>
    <row r="259" spans="1:3">
      <c r="A259" s="69"/>
      <c r="B259" s="70"/>
      <c r="C259" s="95"/>
    </row>
    <row r="260" spans="1:3">
      <c r="A260" s="69"/>
      <c r="B260" s="70"/>
      <c r="C260" s="95"/>
    </row>
    <row r="261" spans="1:3">
      <c r="A261" s="69"/>
      <c r="B261" s="70"/>
      <c r="C261" s="95"/>
    </row>
    <row r="262" spans="1:3">
      <c r="A262" s="71"/>
      <c r="B262" s="70"/>
      <c r="C262" s="96"/>
    </row>
    <row r="263" spans="1:3">
      <c r="A263" s="108"/>
      <c r="B263" s="108"/>
    </row>
    <row r="264" spans="1:3">
      <c r="A264" s="108"/>
      <c r="B264" s="110"/>
    </row>
    <row r="265" spans="1:3">
      <c r="A265" s="69"/>
      <c r="B265" s="68"/>
    </row>
    <row r="266" spans="1:3">
      <c r="A266" s="69"/>
      <c r="B266" s="95"/>
    </row>
    <row r="267" spans="1:3">
      <c r="A267" s="69"/>
      <c r="B267" s="95"/>
    </row>
    <row r="268" spans="1:3">
      <c r="A268" s="103"/>
      <c r="B268" s="97"/>
    </row>
    <row r="269" spans="1:3">
      <c r="A269" s="69"/>
      <c r="B269" s="95"/>
    </row>
    <row r="270" spans="1:3">
      <c r="A270" s="69"/>
      <c r="B270" s="95"/>
    </row>
    <row r="271" spans="1:3">
      <c r="A271" s="69"/>
      <c r="B271" s="95"/>
    </row>
    <row r="272" spans="1:3">
      <c r="A272" s="69"/>
      <c r="B272" s="95"/>
    </row>
    <row r="273" spans="1:3">
      <c r="A273" s="69"/>
      <c r="B273" s="95"/>
    </row>
    <row r="274" spans="1:3">
      <c r="A274" s="71"/>
      <c r="B274" s="96"/>
    </row>
    <row r="275" spans="1:3">
      <c r="A275" s="111"/>
      <c r="B275" s="107"/>
    </row>
    <row r="276" spans="1:3">
      <c r="A276" s="108"/>
      <c r="B276" s="109"/>
    </row>
    <row r="277" spans="1:3">
      <c r="A277" s="99"/>
      <c r="B277" s="98"/>
    </row>
    <row r="278" spans="1:3">
      <c r="A278" s="99"/>
      <c r="B278" s="98"/>
    </row>
    <row r="279" spans="1:3">
      <c r="A279" s="99"/>
      <c r="B279" s="98"/>
    </row>
    <row r="280" spans="1:3">
      <c r="A280" s="99"/>
      <c r="B280" s="98"/>
    </row>
    <row r="281" spans="1:3">
      <c r="A281" s="102"/>
      <c r="B281" s="100"/>
    </row>
    <row r="282" spans="1:3">
      <c r="A282" s="99"/>
      <c r="B282" s="98"/>
    </row>
    <row r="283" spans="1:3">
      <c r="A283" s="99"/>
      <c r="B283" s="98"/>
    </row>
    <row r="284" spans="1:3">
      <c r="A284" s="99"/>
      <c r="B284" s="98"/>
    </row>
    <row r="285" spans="1:3">
      <c r="A285" s="99"/>
      <c r="B285" s="98"/>
    </row>
    <row r="286" spans="1:3">
      <c r="A286" s="99"/>
      <c r="B286" s="101"/>
    </row>
    <row r="287" spans="1:3">
      <c r="A287" s="106"/>
      <c r="B287" s="112"/>
      <c r="C287" s="106"/>
    </row>
    <row r="288" spans="1:3">
      <c r="A288" s="108"/>
      <c r="B288" s="109"/>
      <c r="C288" s="110"/>
    </row>
    <row r="289" spans="1:5">
      <c r="A289" s="69"/>
      <c r="B289" s="70"/>
      <c r="C289" s="68"/>
    </row>
    <row r="290" spans="1:5">
      <c r="A290" s="69"/>
      <c r="B290" s="70"/>
      <c r="C290" s="95"/>
    </row>
    <row r="291" spans="1:5">
      <c r="A291" s="69"/>
      <c r="B291" s="70"/>
      <c r="C291" s="95"/>
    </row>
    <row r="292" spans="1:5">
      <c r="A292" s="69"/>
      <c r="B292" s="70"/>
      <c r="C292" s="95"/>
    </row>
    <row r="293" spans="1:5">
      <c r="A293" s="69"/>
      <c r="B293" s="70"/>
      <c r="C293" s="95"/>
    </row>
    <row r="294" spans="1:5">
      <c r="A294" s="104"/>
      <c r="B294" s="105"/>
      <c r="C294" s="97"/>
    </row>
    <row r="295" spans="1:5">
      <c r="A295" s="69"/>
      <c r="B295" s="70"/>
      <c r="C295" s="95"/>
    </row>
    <row r="296" spans="1:5">
      <c r="A296" s="69"/>
      <c r="B296" s="70"/>
      <c r="C296" s="95"/>
    </row>
    <row r="297" spans="1:5">
      <c r="A297" s="69"/>
      <c r="B297" s="70"/>
      <c r="C297" s="95"/>
    </row>
    <row r="298" spans="1:5">
      <c r="A298" s="71"/>
      <c r="B298" s="70"/>
      <c r="C298" s="96"/>
    </row>
    <row r="299" spans="1:5">
      <c r="A299" s="124"/>
      <c r="B299" s="122"/>
      <c r="C299" s="122"/>
      <c r="D299" s="122"/>
      <c r="E299" s="123"/>
    </row>
    <row r="300" spans="1:5">
      <c r="A300" s="125"/>
      <c r="B300" s="95"/>
      <c r="C300" s="95"/>
      <c r="D300" s="95"/>
      <c r="E300" s="95"/>
    </row>
    <row r="301" spans="1:5">
      <c r="A301" s="125"/>
      <c r="B301" s="95"/>
      <c r="C301" s="95"/>
      <c r="D301" s="95"/>
      <c r="E301" s="95"/>
    </row>
    <row r="302" spans="1:5">
      <c r="A302" s="128"/>
      <c r="B302" s="127"/>
      <c r="C302" s="127"/>
      <c r="D302" s="127"/>
      <c r="E302" s="127"/>
    </row>
    <row r="303" spans="1:5">
      <c r="A303" s="125"/>
      <c r="B303" s="95"/>
      <c r="C303" s="95"/>
      <c r="D303" s="95"/>
      <c r="E303" s="95"/>
    </row>
    <row r="304" spans="1:5">
      <c r="A304" s="125"/>
      <c r="B304" s="95"/>
      <c r="C304" s="95"/>
      <c r="D304" s="95"/>
      <c r="E304" s="95"/>
    </row>
    <row r="305" spans="1:5">
      <c r="A305" s="128"/>
      <c r="B305" s="127"/>
      <c r="C305" s="127"/>
      <c r="D305" s="127"/>
      <c r="E305" s="127"/>
    </row>
    <row r="306" spans="1:5">
      <c r="A306" s="126"/>
      <c r="B306" s="129"/>
      <c r="C306" s="129"/>
      <c r="D306" s="129"/>
      <c r="E306" s="129"/>
    </row>
  </sheetData>
  <mergeCells count="27">
    <mergeCell ref="A67:K70"/>
    <mergeCell ref="A1:C1"/>
    <mergeCell ref="A8:E8"/>
    <mergeCell ref="A23:B23"/>
    <mergeCell ref="A33:B33"/>
    <mergeCell ref="A66:C66"/>
    <mergeCell ref="A105:E105"/>
    <mergeCell ref="A71:G72"/>
    <mergeCell ref="A73:C73"/>
    <mergeCell ref="B80:C80"/>
    <mergeCell ref="B81:C81"/>
    <mergeCell ref="B82:C82"/>
    <mergeCell ref="B83:C83"/>
    <mergeCell ref="B84:C84"/>
    <mergeCell ref="B85:C85"/>
    <mergeCell ref="B86:C86"/>
    <mergeCell ref="B87:C87"/>
    <mergeCell ref="A88:B88"/>
    <mergeCell ref="A169:E169"/>
    <mergeCell ref="A170:B170"/>
    <mergeCell ref="A192:B192"/>
    <mergeCell ref="A120:B120"/>
    <mergeCell ref="A138:E138"/>
    <mergeCell ref="A139:B139"/>
    <mergeCell ref="A161:C161"/>
    <mergeCell ref="A162:G162"/>
    <mergeCell ref="A164:J16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1-2. NPV and IRR</vt:lpstr>
      <vt:lpstr>3. Scenario Analysis</vt:lpstr>
      <vt:lpstr>4. Sensitivity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Ravshanbek Mamasaidov</dc:creator>
  <cp:lastModifiedBy>Ravshanbek Mamasaidov</cp:lastModifiedBy>
  <dcterms:created xsi:type="dcterms:W3CDTF">2026-02-14T13:10:13Z</dcterms:created>
  <dcterms:modified xsi:type="dcterms:W3CDTF">2026-03-01T11:34:56Z</dcterms:modified>
</cp:coreProperties>
</file>